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iza\Downloads\"/>
    </mc:Choice>
  </mc:AlternateContent>
  <xr:revisionPtr revIDLastSave="0" documentId="13_ncr:1_{FA042CEE-1FB0-4ECA-88B5-76A11AACA88D}" xr6:coauthVersionLast="47" xr6:coauthVersionMax="47" xr10:uidLastSave="{00000000-0000-0000-0000-000000000000}"/>
  <bookViews>
    <workbookView xWindow="-108" yWindow="-108" windowWidth="23256" windowHeight="12456" activeTab="1" xr2:uid="{ED903D8E-C4BF-4901-927E-4EA39AB7B3B0}"/>
  </bookViews>
  <sheets>
    <sheet name="Informe de calificación_2206202" sheetId="1" r:id="rId1"/>
    <sheet name="Informe de calificación_CIKA06" sheetId="3" r:id="rId2"/>
    <sheet name="Notas del Moodle" sheetId="4" r:id="rId3"/>
    <sheet name="Leyenda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3" i="3" l="1"/>
  <c r="BC8" i="3"/>
  <c r="BC9" i="3"/>
  <c r="BC10" i="3"/>
  <c r="BC11" i="3"/>
  <c r="BC12" i="3"/>
  <c r="BC14" i="3"/>
  <c r="BC15" i="3"/>
  <c r="BC16" i="3"/>
  <c r="BC17" i="3"/>
  <c r="BC18" i="3"/>
  <c r="BC19" i="3"/>
  <c r="BC20" i="3"/>
  <c r="BC7" i="3"/>
  <c r="CQ13" i="3"/>
  <c r="CX20" i="3"/>
  <c r="CV20" i="3"/>
  <c r="CU20" i="3"/>
  <c r="CT20" i="3"/>
  <c r="CS20" i="3"/>
  <c r="CX19" i="3"/>
  <c r="CV19" i="3"/>
  <c r="CU19" i="3"/>
  <c r="CT19" i="3"/>
  <c r="CS19" i="3"/>
  <c r="CX18" i="3"/>
  <c r="CV18" i="3"/>
  <c r="CU18" i="3"/>
  <c r="CT18" i="3"/>
  <c r="CS18" i="3"/>
  <c r="CX17" i="3"/>
  <c r="CV17" i="3"/>
  <c r="CU17" i="3"/>
  <c r="CT17" i="3"/>
  <c r="CS17" i="3"/>
  <c r="CX16" i="3"/>
  <c r="CV16" i="3"/>
  <c r="CU16" i="3"/>
  <c r="CT16" i="3"/>
  <c r="CS16" i="3"/>
  <c r="CX15" i="3"/>
  <c r="CV15" i="3"/>
  <c r="CU15" i="3"/>
  <c r="CT15" i="3"/>
  <c r="CS15" i="3"/>
  <c r="CX14" i="3"/>
  <c r="CV14" i="3"/>
  <c r="CU14" i="3"/>
  <c r="CT14" i="3"/>
  <c r="CS14" i="3"/>
  <c r="CX13" i="3"/>
  <c r="CV13" i="3"/>
  <c r="CU13" i="3"/>
  <c r="CT13" i="3"/>
  <c r="CS13" i="3"/>
  <c r="CX12" i="3"/>
  <c r="CV12" i="3"/>
  <c r="CU12" i="3"/>
  <c r="CT12" i="3"/>
  <c r="CS12" i="3"/>
  <c r="CX11" i="3"/>
  <c r="CV11" i="3"/>
  <c r="CU11" i="3"/>
  <c r="CT11" i="3"/>
  <c r="CS11" i="3"/>
  <c r="CX10" i="3"/>
  <c r="CV10" i="3"/>
  <c r="CU10" i="3"/>
  <c r="CT10" i="3"/>
  <c r="CS10" i="3"/>
  <c r="CX9" i="3"/>
  <c r="CV9" i="3"/>
  <c r="CU9" i="3"/>
  <c r="CT9" i="3"/>
  <c r="CS9" i="3"/>
  <c r="CX8" i="3"/>
  <c r="CV8" i="3"/>
  <c r="CU8" i="3"/>
  <c r="CT8" i="3"/>
  <c r="CS8" i="3"/>
  <c r="CT7" i="3"/>
  <c r="CU7" i="3"/>
  <c r="CV7" i="3"/>
  <c r="CW7" i="3"/>
  <c r="CY7" i="3"/>
  <c r="CS7" i="3"/>
  <c r="CQ8" i="3"/>
  <c r="CQ9" i="3"/>
  <c r="CQ10" i="3"/>
  <c r="CQ11" i="3"/>
  <c r="CQ12" i="3"/>
  <c r="CQ14" i="3"/>
  <c r="CQ15" i="3"/>
  <c r="CQ16" i="3"/>
  <c r="CQ17" i="3"/>
  <c r="CQ18" i="3"/>
  <c r="CQ19" i="3"/>
  <c r="CQ20" i="3"/>
  <c r="CQ7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P7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0" i="3"/>
  <c r="CN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0" i="3"/>
  <c r="CL7" i="3"/>
  <c r="CF8" i="3"/>
  <c r="CG8" i="3"/>
  <c r="CH8" i="3"/>
  <c r="CI8" i="3"/>
  <c r="CJ8" i="3"/>
  <c r="CF9" i="3"/>
  <c r="CG9" i="3"/>
  <c r="CH9" i="3"/>
  <c r="CI9" i="3"/>
  <c r="CJ9" i="3"/>
  <c r="CF10" i="3"/>
  <c r="CG10" i="3"/>
  <c r="CH10" i="3"/>
  <c r="CI10" i="3"/>
  <c r="CJ10" i="3"/>
  <c r="CF11" i="3"/>
  <c r="CG11" i="3"/>
  <c r="CH11" i="3"/>
  <c r="CI11" i="3"/>
  <c r="CJ11" i="3"/>
  <c r="CF12" i="3"/>
  <c r="CG12" i="3"/>
  <c r="CH12" i="3"/>
  <c r="CI12" i="3"/>
  <c r="CJ12" i="3"/>
  <c r="CF13" i="3"/>
  <c r="CG13" i="3"/>
  <c r="CH13" i="3"/>
  <c r="CI13" i="3"/>
  <c r="CJ13" i="3"/>
  <c r="CF14" i="3"/>
  <c r="CG14" i="3"/>
  <c r="CH14" i="3"/>
  <c r="CI14" i="3"/>
  <c r="CJ14" i="3"/>
  <c r="CF15" i="3"/>
  <c r="CG15" i="3"/>
  <c r="CH15" i="3"/>
  <c r="CI15" i="3"/>
  <c r="CJ15" i="3"/>
  <c r="CF16" i="3"/>
  <c r="CG16" i="3"/>
  <c r="CH16" i="3"/>
  <c r="CI16" i="3"/>
  <c r="CJ16" i="3"/>
  <c r="CF17" i="3"/>
  <c r="CG17" i="3"/>
  <c r="CH17" i="3"/>
  <c r="CI17" i="3"/>
  <c r="CJ17" i="3"/>
  <c r="CF18" i="3"/>
  <c r="CG18" i="3"/>
  <c r="CH18" i="3"/>
  <c r="CI18" i="3"/>
  <c r="CJ18" i="3"/>
  <c r="CF19" i="3"/>
  <c r="CG19" i="3"/>
  <c r="CH19" i="3"/>
  <c r="CI19" i="3"/>
  <c r="CJ19" i="3"/>
  <c r="CF20" i="3"/>
  <c r="CG20" i="3"/>
  <c r="CH20" i="3"/>
  <c r="CI20" i="3"/>
  <c r="CJ20" i="3"/>
  <c r="CF7" i="3"/>
  <c r="CG7" i="3"/>
  <c r="CH7" i="3"/>
  <c r="CI7" i="3"/>
  <c r="CK7" i="3"/>
  <c r="CE8" i="3"/>
  <c r="CE9" i="3"/>
  <c r="CE10" i="3"/>
  <c r="CE11" i="3"/>
  <c r="CE12" i="3"/>
  <c r="CE13" i="3"/>
  <c r="CE14" i="3"/>
  <c r="CE15" i="3"/>
  <c r="CE16" i="3"/>
  <c r="CE17" i="3"/>
  <c r="CE18" i="3"/>
  <c r="CE19" i="3"/>
  <c r="CE20" i="3"/>
  <c r="CE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7" i="3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7" i="3"/>
  <c r="BR20" i="3"/>
  <c r="BQ20" i="3"/>
  <c r="BP20" i="3"/>
  <c r="BO20" i="3"/>
  <c r="BN20" i="3"/>
  <c r="BM20" i="3"/>
  <c r="BS19" i="3"/>
  <c r="BQ19" i="3"/>
  <c r="BP19" i="3"/>
  <c r="BO19" i="3"/>
  <c r="BN19" i="3"/>
  <c r="BM19" i="3"/>
  <c r="BR18" i="3"/>
  <c r="BQ18" i="3"/>
  <c r="BP18" i="3"/>
  <c r="BO18" i="3"/>
  <c r="BN18" i="3"/>
  <c r="BM18" i="3"/>
  <c r="BR17" i="3"/>
  <c r="BQ17" i="3"/>
  <c r="BP17" i="3"/>
  <c r="BO17" i="3"/>
  <c r="BN17" i="3"/>
  <c r="BM17" i="3"/>
  <c r="BR16" i="3"/>
  <c r="BQ16" i="3"/>
  <c r="BP16" i="3"/>
  <c r="BO16" i="3"/>
  <c r="BN16" i="3"/>
  <c r="BM16" i="3"/>
  <c r="BR15" i="3"/>
  <c r="BQ15" i="3"/>
  <c r="BP15" i="3"/>
  <c r="BO15" i="3"/>
  <c r="BN15" i="3"/>
  <c r="BM15" i="3"/>
  <c r="BR14" i="3"/>
  <c r="BQ14" i="3"/>
  <c r="BP14" i="3"/>
  <c r="BO14" i="3"/>
  <c r="BN14" i="3"/>
  <c r="BM14" i="3"/>
  <c r="BR13" i="3"/>
  <c r="BQ13" i="3"/>
  <c r="BP13" i="3"/>
  <c r="BO13" i="3"/>
  <c r="BN13" i="3"/>
  <c r="BM13" i="3"/>
  <c r="BR12" i="3"/>
  <c r="BQ12" i="3"/>
  <c r="BP12" i="3"/>
  <c r="BO12" i="3"/>
  <c r="BN12" i="3"/>
  <c r="BM12" i="3"/>
  <c r="BR11" i="3"/>
  <c r="BQ11" i="3"/>
  <c r="BP11" i="3"/>
  <c r="BO11" i="3"/>
  <c r="BN11" i="3"/>
  <c r="BM11" i="3"/>
  <c r="BR10" i="3"/>
  <c r="BQ10" i="3"/>
  <c r="BP10" i="3"/>
  <c r="BO10" i="3"/>
  <c r="BN10" i="3"/>
  <c r="BM10" i="3"/>
  <c r="BR9" i="3"/>
  <c r="BQ9" i="3"/>
  <c r="BP9" i="3"/>
  <c r="BO9" i="3"/>
  <c r="BN9" i="3"/>
  <c r="BM9" i="3"/>
  <c r="BR8" i="3"/>
  <c r="BQ8" i="3"/>
  <c r="BP8" i="3"/>
  <c r="BO8" i="3"/>
  <c r="BN8" i="3"/>
  <c r="BM8" i="3"/>
  <c r="BN7" i="3"/>
  <c r="BO7" i="3"/>
  <c r="BP7" i="3"/>
  <c r="BQ7" i="3"/>
  <c r="BS7" i="3"/>
  <c r="BM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7" i="3"/>
  <c r="AX7" i="3"/>
  <c r="AV7" i="3"/>
  <c r="AT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7" i="3"/>
  <c r="AA8" i="3"/>
  <c r="AB8" i="3"/>
  <c r="AC8" i="3"/>
  <c r="AD8" i="3"/>
  <c r="AE8" i="3"/>
  <c r="AF8" i="3"/>
  <c r="AA9" i="3"/>
  <c r="AB9" i="3"/>
  <c r="AC9" i="3"/>
  <c r="AD9" i="3"/>
  <c r="AE9" i="3"/>
  <c r="AF9" i="3"/>
  <c r="AA10" i="3"/>
  <c r="AB10" i="3"/>
  <c r="AC10" i="3"/>
  <c r="AD10" i="3"/>
  <c r="AE10" i="3"/>
  <c r="AF10" i="3"/>
  <c r="AA11" i="3"/>
  <c r="AB11" i="3"/>
  <c r="AC11" i="3"/>
  <c r="AD11" i="3"/>
  <c r="AE11" i="3"/>
  <c r="AF11" i="3"/>
  <c r="AA12" i="3"/>
  <c r="AB12" i="3"/>
  <c r="AC12" i="3"/>
  <c r="AD12" i="3"/>
  <c r="AE12" i="3"/>
  <c r="AF12" i="3"/>
  <c r="AA13" i="3"/>
  <c r="AB13" i="3"/>
  <c r="AC13" i="3"/>
  <c r="AD13" i="3"/>
  <c r="AE13" i="3"/>
  <c r="AF13" i="3"/>
  <c r="AA14" i="3"/>
  <c r="AB14" i="3"/>
  <c r="AC14" i="3"/>
  <c r="AD14" i="3"/>
  <c r="AE14" i="3"/>
  <c r="AF14" i="3"/>
  <c r="AA15" i="3"/>
  <c r="AB15" i="3"/>
  <c r="AC15" i="3"/>
  <c r="AD15" i="3"/>
  <c r="AE15" i="3"/>
  <c r="AF15" i="3"/>
  <c r="AA16" i="3"/>
  <c r="AB16" i="3"/>
  <c r="AC16" i="3"/>
  <c r="AD16" i="3"/>
  <c r="AE16" i="3"/>
  <c r="AF16" i="3"/>
  <c r="AA17" i="3"/>
  <c r="AB17" i="3"/>
  <c r="AC17" i="3"/>
  <c r="AD17" i="3"/>
  <c r="AE17" i="3"/>
  <c r="AF17" i="3"/>
  <c r="AA18" i="3"/>
  <c r="AB18" i="3"/>
  <c r="AC18" i="3"/>
  <c r="AD18" i="3"/>
  <c r="AE18" i="3"/>
  <c r="AF18" i="3"/>
  <c r="AA19" i="3"/>
  <c r="AB19" i="3"/>
  <c r="AC19" i="3"/>
  <c r="AD19" i="3"/>
  <c r="AE19" i="3"/>
  <c r="AF19" i="3"/>
  <c r="AA20" i="3"/>
  <c r="AB20" i="3"/>
  <c r="AC20" i="3"/>
  <c r="AD20" i="3"/>
  <c r="AE20" i="3"/>
  <c r="AF20" i="3"/>
  <c r="AB7" i="3"/>
  <c r="AC7" i="3"/>
  <c r="AD7" i="3"/>
  <c r="AE7" i="3"/>
  <c r="AG7" i="3"/>
  <c r="AA7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7" i="3"/>
  <c r="CS6" i="3"/>
  <c r="CP6" i="3"/>
  <c r="CE6" i="3"/>
  <c r="BZ6" i="3"/>
  <c r="BM6" i="3"/>
  <c r="BH6" i="3"/>
  <c r="BE6" i="3"/>
  <c r="AZ6" i="3"/>
  <c r="AS6" i="3"/>
  <c r="AJ6" i="3"/>
  <c r="AA6" i="3"/>
  <c r="X6" i="3"/>
  <c r="S6" i="3"/>
  <c r="N6" i="3"/>
  <c r="I6" i="3"/>
  <c r="F6" i="3"/>
  <c r="AA6" i="1"/>
  <c r="F6" i="1"/>
  <c r="CS6" i="1"/>
  <c r="CP6" i="1"/>
  <c r="CE6" i="1"/>
  <c r="BZ6" i="1"/>
  <c r="BM6" i="1"/>
  <c r="BH6" i="1"/>
  <c r="BE6" i="1"/>
  <c r="AZ6" i="1"/>
  <c r="AS6" i="1"/>
  <c r="AJ6" i="1"/>
  <c r="X6" i="1"/>
  <c r="S6" i="1"/>
  <c r="N6" i="1"/>
  <c r="I6" i="1"/>
</calcChain>
</file>

<file path=xl/sharedStrings.xml><?xml version="1.0" encoding="utf-8"?>
<sst xmlns="http://schemas.openxmlformats.org/spreadsheetml/2006/main" count="1796" uniqueCount="371">
  <si>
    <t>MED - C101 BASES DEL COMPORTAMIENTO DEPORTIVO</t>
  </si>
  <si>
    <t>MED - C102 PRIMEROS AUXILIOS</t>
  </si>
  <si>
    <t>MED -C103 ACTIVIDAD FÍSICA ADAPTADA Y DISCAPACIDAD</t>
  </si>
  <si>
    <t>MED - C104 ORGANIZACIÓN DEPORTIVA</t>
  </si>
  <si>
    <t>TEMA 1. EL DEPORTE, ESCUELA DE VALORES (12%)</t>
  </si>
  <si>
    <t>TEMA 2. EL TÉCNICO DEPORTIVO COMO LIDER TRANSMISOR DE VALORES (13%)</t>
  </si>
  <si>
    <t>TEMA 6. UN PASEO POR LA INFANCIA (15%)</t>
  </si>
  <si>
    <t>TEMA 7. PRÁCTICAS DEPORTIVAS AJUSTADAS A LA INFANCIA (15%)</t>
  </si>
  <si>
    <t>TEMA 14. MOTIVACIÓN ADAPTADA A JÓVENES DEPORTISTAS (20%)</t>
  </si>
  <si>
    <t>TEMA 16. TRABAJANDO CON GRUPOS (25%)</t>
  </si>
  <si>
    <t>TEMA 8. SITUACIONES DE URGENCIA EN EL DEPORTE (10%)</t>
  </si>
  <si>
    <t>TEMA 9. PRESERVAR LA VIDA (35%)</t>
  </si>
  <si>
    <t>TEMA 10. ATENCIÓN AL DEPORTISTA LESIONADO I (25%)</t>
  </si>
  <si>
    <t>TEMA 11. ATENCIÓN AL DEPORTISTA LESIONADO II (20%)</t>
  </si>
  <si>
    <t>TEMA 12. MANTENER LA CALMA (5%)</t>
  </si>
  <si>
    <t>TEMA 13. ACTUAR IN SITU (5%)</t>
  </si>
  <si>
    <t>TEMA 5. LAS PERSONAS EN SITUACIÓN DE DISCAPACIDAD (60%)</t>
  </si>
  <si>
    <t>TEMA 15. LA COMUNICACIÓN EN LA PRÁCTICA INCLUSIVA (40%)</t>
  </si>
  <si>
    <t>TEMA 3. ESTRUCTURA DEL DEPORTE ESPAÑOL (50%)</t>
  </si>
  <si>
    <t>TEMA 4. ORGANIZACIÓN DEPORTIVA AUTONÓMICA Y LOCAL (50%)</t>
  </si>
  <si>
    <t>Nombre</t>
  </si>
  <si>
    <t>Apellidos</t>
  </si>
  <si>
    <t>Total tema</t>
  </si>
  <si>
    <t>Atención al lesionado en el primer caso(40%)</t>
  </si>
  <si>
    <t>¿ Qué podrías hacer con estos deportistas?(30%)</t>
  </si>
  <si>
    <t>Auténtica mala suerte: Noticias e imprevistos en triatlón(70%)</t>
  </si>
  <si>
    <t>Otras lesiones menores(30%)</t>
  </si>
  <si>
    <t>Y tú, ¿Cómo miras?(20%)</t>
  </si>
  <si>
    <t>Me pongo en la piel(40%)</t>
  </si>
  <si>
    <t>¿Qué sabes sobre la discapacidad?(40%)</t>
  </si>
  <si>
    <t>Entrenar a una persona con discapacidad(50%)</t>
  </si>
  <si>
    <t>Cuestionario: Práctica deportiva en personas con discapacidad.(50%)</t>
  </si>
  <si>
    <t>Marco Antonio</t>
  </si>
  <si>
    <t>Bedoya López</t>
  </si>
  <si>
    <t>-</t>
  </si>
  <si>
    <t>CV</t>
  </si>
  <si>
    <t>Marcos</t>
  </si>
  <si>
    <t>Cano Sánchez</t>
  </si>
  <si>
    <t>1,2</t>
  </si>
  <si>
    <t>1,17</t>
  </si>
  <si>
    <t>2,7</t>
  </si>
  <si>
    <t>6,5</t>
  </si>
  <si>
    <t>1,38</t>
  </si>
  <si>
    <t>0,75</t>
  </si>
  <si>
    <t>0,7</t>
  </si>
  <si>
    <t>1,94</t>
  </si>
  <si>
    <t>9,5</t>
  </si>
  <si>
    <t>2,38</t>
  </si>
  <si>
    <t>6,17</t>
  </si>
  <si>
    <t>7,67</t>
  </si>
  <si>
    <t>0,95</t>
  </si>
  <si>
    <t>3,75</t>
  </si>
  <si>
    <t>0,8</t>
  </si>
  <si>
    <t>2,99</t>
  </si>
  <si>
    <t>1,5</t>
  </si>
  <si>
    <t>2,13</t>
  </si>
  <si>
    <t>2,67</t>
  </si>
  <si>
    <t>1,93</t>
  </si>
  <si>
    <t>0,45</t>
  </si>
  <si>
    <t>0,4</t>
  </si>
  <si>
    <t>6,2</t>
  </si>
  <si>
    <t>7,5</t>
  </si>
  <si>
    <t>8,45</t>
  </si>
  <si>
    <t>3,5</t>
  </si>
  <si>
    <t>3,8</t>
  </si>
  <si>
    <t>5,58</t>
  </si>
  <si>
    <t>4,67</t>
  </si>
  <si>
    <t>3,87</t>
  </si>
  <si>
    <t>6,62</t>
  </si>
  <si>
    <t>8,72</t>
  </si>
  <si>
    <t>2,14</t>
  </si>
  <si>
    <t>3,57</t>
  </si>
  <si>
    <t>9,75</t>
  </si>
  <si>
    <t>4,88</t>
  </si>
  <si>
    <t>5,92</t>
  </si>
  <si>
    <t>8,32</t>
  </si>
  <si>
    <t>RAUL</t>
  </si>
  <si>
    <t>CANO SANCHEZ</t>
  </si>
  <si>
    <t>8,5</t>
  </si>
  <si>
    <t>1,02</t>
  </si>
  <si>
    <t>2,4</t>
  </si>
  <si>
    <t>1,34</t>
  </si>
  <si>
    <t>0,72</t>
  </si>
  <si>
    <t>0,9</t>
  </si>
  <si>
    <t>1,98</t>
  </si>
  <si>
    <t>2,5</t>
  </si>
  <si>
    <t>6,11</t>
  </si>
  <si>
    <t>3,08</t>
  </si>
  <si>
    <t>2,25</t>
  </si>
  <si>
    <t>1,8</t>
  </si>
  <si>
    <t>0,48</t>
  </si>
  <si>
    <t>0,36</t>
  </si>
  <si>
    <t>6,28</t>
  </si>
  <si>
    <t>5,88</t>
  </si>
  <si>
    <t>6,92</t>
  </si>
  <si>
    <t>3,97</t>
  </si>
  <si>
    <t>3,83</t>
  </si>
  <si>
    <t>DAVIS</t>
  </si>
  <si>
    <t>CASTILLO SALAZAR</t>
  </si>
  <si>
    <t>0,85</t>
  </si>
  <si>
    <t>2,1</t>
  </si>
  <si>
    <t>5,5</t>
  </si>
  <si>
    <t>1,14</t>
  </si>
  <si>
    <t>0,6</t>
  </si>
  <si>
    <t>0,92</t>
  </si>
  <si>
    <t>5,45</t>
  </si>
  <si>
    <t>7,7</t>
  </si>
  <si>
    <t>2,84</t>
  </si>
  <si>
    <t>1,06</t>
  </si>
  <si>
    <t>6,25</t>
  </si>
  <si>
    <t>1,25</t>
  </si>
  <si>
    <t>0,33</t>
  </si>
  <si>
    <t>0,3</t>
  </si>
  <si>
    <t>4,54</t>
  </si>
  <si>
    <t>6,94</t>
  </si>
  <si>
    <t>4,68</t>
  </si>
  <si>
    <t>3,17</t>
  </si>
  <si>
    <t>3,27</t>
  </si>
  <si>
    <t>5,57</t>
  </si>
  <si>
    <t>7,97</t>
  </si>
  <si>
    <t>2,57</t>
  </si>
  <si>
    <t>4,5</t>
  </si>
  <si>
    <t>3,37</t>
  </si>
  <si>
    <t>5,32</t>
  </si>
  <si>
    <t>RAMON</t>
  </si>
  <si>
    <t>CEBALLOS LOSA</t>
  </si>
  <si>
    <t>1,11</t>
  </si>
  <si>
    <t>0,59</t>
  </si>
  <si>
    <t>1,96</t>
  </si>
  <si>
    <t>6,12</t>
  </si>
  <si>
    <t>8,67</t>
  </si>
  <si>
    <t>4,75</t>
  </si>
  <si>
    <t>3,38</t>
  </si>
  <si>
    <t>2,33</t>
  </si>
  <si>
    <t>1,87</t>
  </si>
  <si>
    <t>5,25</t>
  </si>
  <si>
    <t>0,38</t>
  </si>
  <si>
    <t>6,59</t>
  </si>
  <si>
    <t>9,59</t>
  </si>
  <si>
    <t>2,79</t>
  </si>
  <si>
    <t>4,4</t>
  </si>
  <si>
    <t>4,83</t>
  </si>
  <si>
    <t>7,83</t>
  </si>
  <si>
    <t>SALOMÉ</t>
  </si>
  <si>
    <t>CRUZ TRUJILLO</t>
  </si>
  <si>
    <t>0,98</t>
  </si>
  <si>
    <t>1,35</t>
  </si>
  <si>
    <t>3,25</t>
  </si>
  <si>
    <t>2,64</t>
  </si>
  <si>
    <t>3,85</t>
  </si>
  <si>
    <t>2,34</t>
  </si>
  <si>
    <t>2,8</t>
  </si>
  <si>
    <t>0,44</t>
  </si>
  <si>
    <t>6,06</t>
  </si>
  <si>
    <t>9,06</t>
  </si>
  <si>
    <t>4,25</t>
  </si>
  <si>
    <t>3,7</t>
  </si>
  <si>
    <t>6,79</t>
  </si>
  <si>
    <t>9,79</t>
  </si>
  <si>
    <t>8,25</t>
  </si>
  <si>
    <t>4,13</t>
  </si>
  <si>
    <t>6,39</t>
  </si>
  <si>
    <t>9,39</t>
  </si>
  <si>
    <t>Alejandro</t>
  </si>
  <si>
    <t>De Lera Saenz De Miera</t>
  </si>
  <si>
    <t>1,23</t>
  </si>
  <si>
    <t>1,01</t>
  </si>
  <si>
    <t>1,74</t>
  </si>
  <si>
    <t>8,61</t>
  </si>
  <si>
    <t>1,56</t>
  </si>
  <si>
    <t>0,35</t>
  </si>
  <si>
    <t>5,59</t>
  </si>
  <si>
    <t>7,99</t>
  </si>
  <si>
    <t>2,75</t>
  </si>
  <si>
    <t>5,13</t>
  </si>
  <si>
    <t>8,35</t>
  </si>
  <si>
    <t>3,29</t>
  </si>
  <si>
    <t>7,25</t>
  </si>
  <si>
    <t>3,63</t>
  </si>
  <si>
    <t>4,84</t>
  </si>
  <si>
    <t>7,24</t>
  </si>
  <si>
    <t>JESUS</t>
  </si>
  <si>
    <t>FERNANDEZ FERNANDEZ</t>
  </si>
  <si>
    <t>0,78</t>
  </si>
  <si>
    <t>0,99</t>
  </si>
  <si>
    <t>0,93</t>
  </si>
  <si>
    <t>5,64</t>
  </si>
  <si>
    <t>8,04</t>
  </si>
  <si>
    <t>2,56</t>
  </si>
  <si>
    <t>1,33</t>
  </si>
  <si>
    <t>0,97</t>
  </si>
  <si>
    <t>1,6</t>
  </si>
  <si>
    <t>4,51</t>
  </si>
  <si>
    <t>6,61</t>
  </si>
  <si>
    <t>3,4</t>
  </si>
  <si>
    <t>4,33</t>
  </si>
  <si>
    <t>3,73</t>
  </si>
  <si>
    <t>6,56</t>
  </si>
  <si>
    <t>9,41</t>
  </si>
  <si>
    <t>1,75</t>
  </si>
  <si>
    <t>0,88</t>
  </si>
  <si>
    <t>3,12</t>
  </si>
  <si>
    <t>4,92</t>
  </si>
  <si>
    <t>Lucía</t>
  </si>
  <si>
    <t>Guerrero Mouriz</t>
  </si>
  <si>
    <t>1,24</t>
  </si>
  <si>
    <t>1,37</t>
  </si>
  <si>
    <t>6,73</t>
  </si>
  <si>
    <t>9,13</t>
  </si>
  <si>
    <t>1,7</t>
  </si>
  <si>
    <t>1,73</t>
  </si>
  <si>
    <t>2,19</t>
  </si>
  <si>
    <t>0,43</t>
  </si>
  <si>
    <t>0,42</t>
  </si>
  <si>
    <t>5,29</t>
  </si>
  <si>
    <t>3,6</t>
  </si>
  <si>
    <t>4,71</t>
  </si>
  <si>
    <t>5,84</t>
  </si>
  <si>
    <t>8,84</t>
  </si>
  <si>
    <t>6,58</t>
  </si>
  <si>
    <t>8,68</t>
  </si>
  <si>
    <t>Roque</t>
  </si>
  <si>
    <t>Mazoy Cortiñas</t>
  </si>
  <si>
    <t>1,08</t>
  </si>
  <si>
    <t>1,44</t>
  </si>
  <si>
    <t>6,38</t>
  </si>
  <si>
    <t>8,48</t>
  </si>
  <si>
    <t>0,2</t>
  </si>
  <si>
    <t>1,54</t>
  </si>
  <si>
    <t>1,88</t>
  </si>
  <si>
    <t>1,67</t>
  </si>
  <si>
    <t>0,34</t>
  </si>
  <si>
    <t>6,08</t>
  </si>
  <si>
    <t>4,86</t>
  </si>
  <si>
    <t>5,99</t>
  </si>
  <si>
    <t>8,24</t>
  </si>
  <si>
    <t>3,62</t>
  </si>
  <si>
    <t>5,42</t>
  </si>
  <si>
    <t>GUILLERMO</t>
  </si>
  <si>
    <t>MORENO MATA</t>
  </si>
  <si>
    <t>0,52</t>
  </si>
  <si>
    <t>1,41</t>
  </si>
  <si>
    <t>1,36</t>
  </si>
  <si>
    <t>8,75</t>
  </si>
  <si>
    <t>6,05</t>
  </si>
  <si>
    <t>3,13</t>
  </si>
  <si>
    <t>6,01</t>
  </si>
  <si>
    <t>8,71</t>
  </si>
  <si>
    <t>9,43</t>
  </si>
  <si>
    <t>2,36</t>
  </si>
  <si>
    <t>3,68</t>
  </si>
  <si>
    <t>6,75</t>
  </si>
  <si>
    <t>4,94</t>
  </si>
  <si>
    <t>7,34</t>
  </si>
  <si>
    <t>LAURA</t>
  </si>
  <si>
    <t>PANIAGUA ARIAS</t>
  </si>
  <si>
    <t>1,43</t>
  </si>
  <si>
    <t>6,52</t>
  </si>
  <si>
    <t>9,52</t>
  </si>
  <si>
    <t>3,33</t>
  </si>
  <si>
    <t>0,5</t>
  </si>
  <si>
    <t>6,49</t>
  </si>
  <si>
    <t>9,49</t>
  </si>
  <si>
    <t>3,93</t>
  </si>
  <si>
    <t>6,87</t>
  </si>
  <si>
    <t>9,87</t>
  </si>
  <si>
    <t>4,29</t>
  </si>
  <si>
    <t>6,33</t>
  </si>
  <si>
    <t>9,33</t>
  </si>
  <si>
    <t>María del Rosario</t>
  </si>
  <si>
    <t>Quintáns Carballo</t>
  </si>
  <si>
    <t>0,91</t>
  </si>
  <si>
    <t>6,71</t>
  </si>
  <si>
    <t>9,71</t>
  </si>
  <si>
    <t>5,46</t>
  </si>
  <si>
    <t>6,57</t>
  </si>
  <si>
    <t>9,57</t>
  </si>
  <si>
    <t>4,18</t>
  </si>
  <si>
    <t>4,38</t>
  </si>
  <si>
    <t>8,99</t>
  </si>
  <si>
    <t>ALAIN</t>
  </si>
  <si>
    <t>TALLON JIMENEZ</t>
  </si>
  <si>
    <t>1,49</t>
  </si>
  <si>
    <t>6,76</t>
  </si>
  <si>
    <t>9,76</t>
  </si>
  <si>
    <t>3,24</t>
  </si>
  <si>
    <t>2,06</t>
  </si>
  <si>
    <t>8,65</t>
  </si>
  <si>
    <t>5,8</t>
  </si>
  <si>
    <t>8,8</t>
  </si>
  <si>
    <t>3,79</t>
  </si>
  <si>
    <t>2,63</t>
  </si>
  <si>
    <t>4,49</t>
  </si>
  <si>
    <t>7,04</t>
  </si>
  <si>
    <r>
      <t>Convalidado</t>
    </r>
    <r>
      <rPr>
        <sz val="9"/>
        <color rgb="FFFFFFFF"/>
        <rFont val="Aptos Narrow"/>
        <family val="2"/>
        <scheme val="minor"/>
      </rPr>
      <t> </t>
    </r>
  </si>
  <si>
    <r>
      <t xml:space="preserve">Informe de calificación:
CICLO INICIAL KARATE MADRID
</t>
    </r>
    <r>
      <rPr>
        <b/>
        <sz val="14"/>
        <color rgb="FFFF0000"/>
        <rFont val="Aptos Narrow"/>
        <family val="2"/>
        <scheme val="minor"/>
      </rPr>
      <t>KA06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(14 alumnos)</t>
    </r>
  </si>
  <si>
    <t>Todo valores</t>
  </si>
  <si>
    <t>Líderes con valor</t>
  </si>
  <si>
    <t>Q</t>
  </si>
  <si>
    <t>T</t>
  </si>
  <si>
    <t>El Retrato Robot</t>
  </si>
  <si>
    <t>Desmontando a Richard</t>
  </si>
  <si>
    <t>Iniciación deportiva respetuosa y segura</t>
  </si>
  <si>
    <t>¿Qué sabes de la infancia?</t>
  </si>
  <si>
    <t>De Campeones
a Mali</t>
  </si>
  <si>
    <t>Motivar sin
palabras</t>
  </si>
  <si>
    <t>Tarea: Case Study Lealtad Rugby Club</t>
  </si>
  <si>
    <t>Examen presencial
Conv.Extr. (30%)</t>
  </si>
  <si>
    <t>Nota total Módulo </t>
  </si>
  <si>
    <t>Total Evaluación
Continua Ord. (70%)</t>
  </si>
  <si>
    <t>Total Evaluación
Continua Extr. (70%)</t>
  </si>
  <si>
    <t>Análisis del entorno
y conducta PAS</t>
  </si>
  <si>
    <t>Foro-acertijo: "Staying alive"</t>
  </si>
  <si>
    <t>Taller de RCP: Autoinstrucción</t>
  </si>
  <si>
    <t>DESA</t>
  </si>
  <si>
    <t>Otras situaciones de riesgo vital</t>
  </si>
  <si>
    <t>F</t>
  </si>
  <si>
    <t>Rescates y movilización</t>
  </si>
  <si>
    <t>Presta ayuda al choque de hockey</t>
  </si>
  <si>
    <t>Atiende in situ a estos deportistas</t>
  </si>
  <si>
    <t>Atención in situ en el escenario de juego</t>
  </si>
  <si>
    <t>Total Evaluación
Continua Extr (70%)</t>
  </si>
  <si>
    <t>Examen presencial
Conv.Ordinaria (30%)</t>
  </si>
  <si>
    <t>Nº</t>
  </si>
  <si>
    <t>Competencias de las instituciones</t>
  </si>
  <si>
    <t>Quiz: Estructura del deporte nacional</t>
  </si>
  <si>
    <t>Ayudas al deporte: requisitos y criterios de valoración.</t>
  </si>
  <si>
    <t>Examen presencia
Conv.Extr. (30%)</t>
  </si>
  <si>
    <t>LEYENDA COLORES</t>
  </si>
  <si>
    <t>AUTOMATICA (MOODLE)</t>
  </si>
  <si>
    <t>ACTIVIDAD CALIFICADA CON UN 0</t>
  </si>
  <si>
    <t>TAREA NO ENTREGADA</t>
  </si>
  <si>
    <t>ACTIVIDAD CALIFICADA EN EL INFORME DE CALIFICACIÓN MANUALMENTE</t>
  </si>
  <si>
    <t>AUTOMÁTICA (MOODLE)</t>
  </si>
  <si>
    <t>MANUAL EN EL EXCEL</t>
  </si>
  <si>
    <t>EXAMEN &lt; 5</t>
  </si>
  <si>
    <t>NOTA FINAL DEL MÓDULO MODIFICADA MANUALMENTE</t>
  </si>
  <si>
    <t xml:space="preserve">LEYENDA DE LOS COLORES DE LAS CASILLAS </t>
  </si>
  <si>
    <t>QUE NO HAYA ENTREGADO NINGUNA ACTIVIDAD</t>
  </si>
  <si>
    <t>CAMBIAR LOS "0" DE LA NOTA FINAL DEL MÓDULO POR 1 EN LOS CASOS</t>
  </si>
  <si>
    <t>PONER "CV" EN LA NOTA FINAL DEL MÓDULO SI  LO TIENE CONVALIDADO</t>
  </si>
  <si>
    <t>EN EL INFORME DE CALIFICACIONES (volver a exportar)</t>
  </si>
  <si>
    <t>Informe de calificación Curso: CICLO INICIAL KARATE MADRID KA06</t>
  </si>
  <si>
    <t>14 Alumnos</t>
  </si>
  <si>
    <t>Total Evaluación Continua Ord. (70%)</t>
  </si>
  <si>
    <t>Total Evaluación Continua Extr (70%)</t>
  </si>
  <si>
    <t>Examen presencial Conv.Ordinaria (30%)</t>
  </si>
  <si>
    <t>Examen presencial Conv.Extr. (30%)</t>
  </si>
  <si>
    <r>
      <t>Nota total Módulo</t>
    </r>
    <r>
      <rPr>
        <sz val="11"/>
        <color rgb="FFFFFFFF"/>
        <rFont val="Aptos Narrow"/>
        <family val="2"/>
        <scheme val="minor"/>
      </rPr>
      <t> </t>
    </r>
  </si>
  <si>
    <r>
      <t>Convalidado</t>
    </r>
    <r>
      <rPr>
        <sz val="11"/>
        <color rgb="FFFFFFFF"/>
        <rFont val="Aptos Narrow"/>
        <family val="2"/>
        <scheme val="minor"/>
      </rPr>
      <t> </t>
    </r>
  </si>
  <si>
    <t>Todo valores(100%)</t>
  </si>
  <si>
    <t>Líderes con valor(100%)</t>
  </si>
  <si>
    <t>¿Qué sabes de la infancia?(30%)</t>
  </si>
  <si>
    <t>El Retrato Robot(70%)</t>
  </si>
  <si>
    <t>Desmontando a Richard(90%)</t>
  </si>
  <si>
    <t>Iniciación deportiva respetuosa y segura(10%)</t>
  </si>
  <si>
    <t>Motivar sin palabras(10%)</t>
  </si>
  <si>
    <t>De Campeones a Mali(90%)</t>
  </si>
  <si>
    <t>Tarea: Case Study Lealtad Rugby Club(100%)</t>
  </si>
  <si>
    <t>Análisis del entorno y conducta PAS(100%)</t>
  </si>
  <si>
    <t>Foro-acertijo: "Staying alive"(10%)</t>
  </si>
  <si>
    <t>Taller de RCP: Autoinstrucción(50%)</t>
  </si>
  <si>
    <t>DESA(30%)</t>
  </si>
  <si>
    <t>Otras situaciones de riesgo vital(10%)</t>
  </si>
  <si>
    <t>Rescates y movilización(30%)</t>
  </si>
  <si>
    <t>Presta ayuda al choque de hockey(100%)</t>
  </si>
  <si>
    <t>Atiende in situ a estos deportistas(60%)</t>
  </si>
  <si>
    <t>Atención in situ en el escenario de juego(40%)</t>
  </si>
  <si>
    <t>Competencias de las instituciones(70%)</t>
  </si>
  <si>
    <t>Quiz: Estructura del deporte nacional(30%)</t>
  </si>
  <si>
    <t>Ayudas al deporte: requisitos y criterios de valoración.(100%)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</si>
</sst>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8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9"/>
      <color theme="3" tint="0.249977111117893"/>
      <name val="Aptos Narrow"/>
      <family val="2"/>
      <scheme val="minor"/>
    </font>
    <font>
      <b/>
      <sz val="9"/>
      <color theme="8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8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9"/>
      <color theme="9" tint="-0.249977111117893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3F3F"/>
      <name val="Aptos Narrow"/>
      <family val="2"/>
      <scheme val="minor"/>
    </font>
    <font>
      <sz val="9"/>
      <color theme="5" tint="-0.249977111117893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18DAE"/>
        <bgColor indexed="64"/>
      </patternFill>
    </fill>
    <fill>
      <patternFill patternType="solid">
        <fgColor rgb="FF709DBE"/>
        <bgColor indexed="64"/>
      </patternFill>
    </fill>
    <fill>
      <patternFill patternType="solid">
        <fgColor rgb="FFEFEEED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 textRotation="90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9" fillId="42" borderId="12" xfId="0" applyFont="1" applyFill="1" applyBorder="1" applyAlignment="1">
      <alignment horizontal="center" vertical="center" textRotation="90" wrapText="1"/>
    </xf>
    <xf numFmtId="0" fontId="19" fillId="43" borderId="12" xfId="0" applyFont="1" applyFill="1" applyBorder="1" applyAlignment="1">
      <alignment horizontal="center" vertical="center" textRotation="90" wrapText="1"/>
    </xf>
    <xf numFmtId="0" fontId="19" fillId="44" borderId="12" xfId="0" applyFont="1" applyFill="1" applyBorder="1" applyAlignment="1">
      <alignment horizontal="center" vertical="center" textRotation="90" wrapText="1"/>
    </xf>
    <xf numFmtId="0" fontId="28" fillId="44" borderId="12" xfId="19" applyFont="1" applyFill="1" applyBorder="1" applyAlignment="1">
      <alignment horizontal="center" wrapText="1"/>
    </xf>
    <xf numFmtId="9" fontId="28" fillId="44" borderId="12" xfId="19" applyNumberFormat="1" applyFont="1" applyFill="1" applyBorder="1" applyAlignment="1">
      <alignment horizontal="center" wrapText="1"/>
    </xf>
    <xf numFmtId="9" fontId="20" fillId="44" borderId="12" xfId="19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34" borderId="12" xfId="0" applyFill="1" applyBorder="1" applyAlignment="1">
      <alignment horizontal="center" wrapText="1"/>
    </xf>
    <xf numFmtId="0" fontId="0" fillId="34" borderId="17" xfId="0" applyFill="1" applyBorder="1" applyAlignment="1">
      <alignment horizontal="center" wrapText="1"/>
    </xf>
    <xf numFmtId="0" fontId="0" fillId="34" borderId="18" xfId="0" applyFill="1" applyBorder="1" applyAlignment="1">
      <alignment horizontal="center" wrapText="1"/>
    </xf>
    <xf numFmtId="0" fontId="0" fillId="34" borderId="19" xfId="0" applyFill="1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34" borderId="13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 wrapText="1"/>
    </xf>
    <xf numFmtId="0" fontId="0" fillId="34" borderId="12" xfId="0" applyFill="1" applyBorder="1" applyAlignment="1">
      <alignment horizontal="left" wrapText="1"/>
    </xf>
    <xf numFmtId="0" fontId="16" fillId="0" borderId="0" xfId="0" applyFont="1"/>
    <xf numFmtId="0" fontId="16" fillId="0" borderId="12" xfId="0" applyFont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16" fillId="34" borderId="18" xfId="0" applyFont="1" applyFill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33" fillId="43" borderId="12" xfId="19" applyFont="1" applyFill="1" applyBorder="1" applyAlignment="1">
      <alignment horizontal="center" wrapText="1"/>
    </xf>
    <xf numFmtId="9" fontId="33" fillId="43" borderId="12" xfId="19" applyNumberFormat="1" applyFont="1" applyFill="1" applyBorder="1" applyAlignment="1">
      <alignment horizontal="center" wrapText="1"/>
    </xf>
    <xf numFmtId="9" fontId="34" fillId="43" borderId="12" xfId="19" applyNumberFormat="1" applyFont="1" applyFill="1" applyBorder="1" applyAlignment="1">
      <alignment horizontal="center" wrapText="1"/>
    </xf>
    <xf numFmtId="0" fontId="19" fillId="47" borderId="12" xfId="0" applyFont="1" applyFill="1" applyBorder="1" applyAlignment="1">
      <alignment horizontal="center" vertical="center" textRotation="90" wrapText="1"/>
    </xf>
    <xf numFmtId="9" fontId="34" fillId="47" borderId="12" xfId="19" applyNumberFormat="1" applyFont="1" applyFill="1" applyBorder="1" applyAlignment="1">
      <alignment horizontal="center" wrapText="1"/>
    </xf>
    <xf numFmtId="0" fontId="35" fillId="47" borderId="12" xfId="19" applyFont="1" applyFill="1" applyBorder="1" applyAlignment="1">
      <alignment horizontal="center" wrapText="1"/>
    </xf>
    <xf numFmtId="9" fontId="35" fillId="47" borderId="12" xfId="19" applyNumberFormat="1" applyFont="1" applyFill="1" applyBorder="1" applyAlignment="1">
      <alignment horizontal="center" wrapText="1"/>
    </xf>
    <xf numFmtId="0" fontId="0" fillId="48" borderId="12" xfId="0" applyFill="1" applyBorder="1" applyAlignment="1">
      <alignment horizontal="right"/>
    </xf>
    <xf numFmtId="9" fontId="34" fillId="42" borderId="12" xfId="19" applyNumberFormat="1" applyFont="1" applyFill="1" applyBorder="1" applyAlignment="1">
      <alignment horizontal="center" wrapText="1"/>
    </xf>
    <xf numFmtId="0" fontId="36" fillId="42" borderId="12" xfId="19" applyFont="1" applyFill="1" applyBorder="1" applyAlignment="1">
      <alignment horizontal="center" wrapText="1"/>
    </xf>
    <xf numFmtId="9" fontId="36" fillId="42" borderId="12" xfId="19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51" borderId="12" xfId="0" applyFill="1" applyBorder="1" applyAlignment="1">
      <alignment horizontal="center" wrapText="1"/>
    </xf>
    <xf numFmtId="0" fontId="0" fillId="0" borderId="42" xfId="0" applyBorder="1" applyAlignment="1">
      <alignment horizontal="left"/>
    </xf>
    <xf numFmtId="0" fontId="0" fillId="49" borderId="40" xfId="0" applyFill="1" applyBorder="1" applyAlignment="1">
      <alignment horizontal="center"/>
    </xf>
    <xf numFmtId="0" fontId="0" fillId="49" borderId="0" xfId="0" applyFill="1" applyAlignment="1">
      <alignment horizontal="center"/>
    </xf>
    <xf numFmtId="0" fontId="0" fillId="49" borderId="0" xfId="0" applyFill="1" applyAlignment="1">
      <alignment horizontal="left"/>
    </xf>
    <xf numFmtId="0" fontId="0" fillId="49" borderId="30" xfId="0" applyFill="1" applyBorder="1" applyAlignment="1">
      <alignment horizontal="center"/>
    </xf>
    <xf numFmtId="0" fontId="0" fillId="49" borderId="41" xfId="0" applyFill="1" applyBorder="1" applyAlignment="1">
      <alignment horizontal="center"/>
    </xf>
    <xf numFmtId="0" fontId="0" fillId="49" borderId="42" xfId="0" applyFill="1" applyBorder="1" applyAlignment="1">
      <alignment horizontal="center"/>
    </xf>
    <xf numFmtId="0" fontId="0" fillId="49" borderId="43" xfId="0" applyFill="1" applyBorder="1" applyAlignment="1">
      <alignment horizontal="center"/>
    </xf>
    <xf numFmtId="0" fontId="16" fillId="45" borderId="12" xfId="0" applyFont="1" applyFill="1" applyBorder="1" applyAlignment="1">
      <alignment horizontal="center" wrapText="1"/>
    </xf>
    <xf numFmtId="0" fontId="0" fillId="49" borderId="12" xfId="0" applyFill="1" applyBorder="1" applyAlignment="1">
      <alignment horizontal="center" wrapText="1"/>
    </xf>
    <xf numFmtId="0" fontId="0" fillId="49" borderId="17" xfId="0" applyFill="1" applyBorder="1" applyAlignment="1">
      <alignment horizontal="center" wrapText="1"/>
    </xf>
    <xf numFmtId="0" fontId="35" fillId="47" borderId="16" xfId="19" applyFont="1" applyFill="1" applyBorder="1" applyAlignment="1">
      <alignment horizontal="center" wrapText="1"/>
    </xf>
    <xf numFmtId="0" fontId="36" fillId="42" borderId="16" xfId="19" applyFont="1" applyFill="1" applyBorder="1" applyAlignment="1">
      <alignment horizontal="center" wrapText="1"/>
    </xf>
    <xf numFmtId="0" fontId="0" fillId="49" borderId="19" xfId="0" applyFill="1" applyBorder="1" applyAlignment="1">
      <alignment horizontal="center" wrapText="1"/>
    </xf>
    <xf numFmtId="0" fontId="16" fillId="47" borderId="12" xfId="0" applyFont="1" applyFill="1" applyBorder="1" applyAlignment="1">
      <alignment horizontal="center" wrapText="1"/>
    </xf>
    <xf numFmtId="0" fontId="0" fillId="49" borderId="18" xfId="0" applyFill="1" applyBorder="1" applyAlignment="1">
      <alignment horizontal="center" wrapText="1"/>
    </xf>
    <xf numFmtId="0" fontId="16" fillId="49" borderId="18" xfId="0" applyFont="1" applyFill="1" applyBorder="1" applyAlignment="1">
      <alignment horizontal="center" wrapText="1"/>
    </xf>
    <xf numFmtId="0" fontId="16" fillId="49" borderId="12" xfId="0" applyFont="1" applyFill="1" applyBorder="1" applyAlignment="1">
      <alignment horizontal="center"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39" fillId="0" borderId="0" xfId="0" applyFont="1"/>
    <xf numFmtId="0" fontId="0" fillId="0" borderId="0" xfId="0" applyAlignment="1">
      <alignment wrapText="1"/>
    </xf>
    <xf numFmtId="0" fontId="18" fillId="5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9" fillId="54" borderId="0" xfId="0" applyFont="1" applyFill="1" applyAlignment="1">
      <alignment horizontal="center" vertical="center" wrapText="1"/>
    </xf>
    <xf numFmtId="0" fontId="0" fillId="33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45" borderId="0" xfId="0" applyFill="1" applyAlignment="1">
      <alignment wrapText="1"/>
    </xf>
    <xf numFmtId="0" fontId="18" fillId="38" borderId="10" xfId="0" applyFont="1" applyFill="1" applyBorder="1" applyAlignment="1">
      <alignment horizontal="center" wrapText="1"/>
    </xf>
    <xf numFmtId="0" fontId="18" fillId="38" borderId="15" xfId="0" applyFont="1" applyFill="1" applyBorder="1" applyAlignment="1">
      <alignment horizontal="center" wrapText="1"/>
    </xf>
    <xf numFmtId="0" fontId="18" fillId="38" borderId="11" xfId="0" applyFont="1" applyFill="1" applyBorder="1" applyAlignment="1">
      <alignment horizontal="center" wrapText="1"/>
    </xf>
    <xf numFmtId="0" fontId="21" fillId="40" borderId="25" xfId="0" applyFont="1" applyFill="1" applyBorder="1" applyAlignment="1">
      <alignment horizontal="center" vertical="center" wrapText="1"/>
    </xf>
    <xf numFmtId="0" fontId="21" fillId="40" borderId="34" xfId="0" applyFont="1" applyFill="1" applyBorder="1" applyAlignment="1">
      <alignment horizontal="center" vertical="center" wrapText="1"/>
    </xf>
    <xf numFmtId="0" fontId="21" fillId="40" borderId="26" xfId="0" applyFont="1" applyFill="1" applyBorder="1" applyAlignment="1">
      <alignment horizontal="center" vertical="center" wrapText="1"/>
    </xf>
    <xf numFmtId="0" fontId="21" fillId="46" borderId="12" xfId="0" applyFont="1" applyFill="1" applyBorder="1" applyAlignment="1">
      <alignment horizontal="center" vertical="center" wrapText="1"/>
    </xf>
    <xf numFmtId="0" fontId="21" fillId="39" borderId="16" xfId="0" applyFont="1" applyFill="1" applyBorder="1" applyAlignment="1">
      <alignment horizontal="center" vertical="center" wrapText="1"/>
    </xf>
    <xf numFmtId="0" fontId="21" fillId="39" borderId="14" xfId="0" applyFont="1" applyFill="1" applyBorder="1" applyAlignment="1">
      <alignment horizontal="center" vertical="center" wrapText="1"/>
    </xf>
    <xf numFmtId="0" fontId="21" fillId="39" borderId="12" xfId="0" applyFont="1" applyFill="1" applyBorder="1" applyAlignment="1">
      <alignment horizontal="center" vertical="center" wrapText="1"/>
    </xf>
    <xf numFmtId="0" fontId="21" fillId="37" borderId="14" xfId="0" applyFont="1" applyFill="1" applyBorder="1" applyAlignment="1">
      <alignment horizontal="center" vertical="center" wrapText="1"/>
    </xf>
    <xf numFmtId="0" fontId="21" fillId="37" borderId="1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31" xfId="0" applyBorder="1"/>
    <xf numFmtId="0" fontId="18" fillId="41" borderId="10" xfId="0" applyFont="1" applyFill="1" applyBorder="1" applyAlignment="1">
      <alignment horizontal="center" vertical="center" wrapText="1"/>
    </xf>
    <xf numFmtId="0" fontId="18" fillId="41" borderId="15" xfId="0" applyFont="1" applyFill="1" applyBorder="1" applyAlignment="1">
      <alignment horizontal="center" vertical="center" wrapText="1"/>
    </xf>
    <xf numFmtId="0" fontId="18" fillId="41" borderId="11" xfId="0" applyFont="1" applyFill="1" applyBorder="1" applyAlignment="1">
      <alignment horizontal="center" vertical="center" wrapText="1"/>
    </xf>
    <xf numFmtId="0" fontId="26" fillId="44" borderId="12" xfId="0" applyFont="1" applyFill="1" applyBorder="1" applyAlignment="1">
      <alignment horizontal="center" vertical="center" textRotation="90" wrapText="1"/>
    </xf>
    <xf numFmtId="0" fontId="27" fillId="0" borderId="12" xfId="0" applyFont="1" applyBorder="1" applyAlignment="1">
      <alignment horizontal="center" wrapText="1"/>
    </xf>
    <xf numFmtId="0" fontId="21" fillId="40" borderId="20" xfId="0" applyFont="1" applyFill="1" applyBorder="1" applyAlignment="1">
      <alignment horizontal="center" vertical="center" textRotation="90" wrapText="1"/>
    </xf>
    <xf numFmtId="0" fontId="16" fillId="0" borderId="37" xfId="0" applyFont="1" applyBorder="1" applyAlignment="1">
      <alignment horizontal="center" vertical="center" textRotation="90" wrapText="1"/>
    </xf>
    <xf numFmtId="0" fontId="0" fillId="0" borderId="26" xfId="0" applyBorder="1" applyAlignment="1">
      <alignment horizontal="center" wrapText="1"/>
    </xf>
    <xf numFmtId="0" fontId="21" fillId="40" borderId="38" xfId="0" applyFont="1" applyFill="1" applyBorder="1" applyAlignment="1">
      <alignment horizontal="center" vertical="center" textRotation="90" wrapText="1"/>
    </xf>
    <xf numFmtId="0" fontId="0" fillId="0" borderId="39" xfId="0" applyBorder="1" applyAlignment="1">
      <alignment horizontal="center" vertical="center" textRotation="90" wrapText="1"/>
    </xf>
    <xf numFmtId="0" fontId="0" fillId="0" borderId="33" xfId="0" applyBorder="1" applyAlignment="1">
      <alignment horizontal="center" wrapText="1"/>
    </xf>
    <xf numFmtId="0" fontId="31" fillId="43" borderId="13" xfId="0" applyFont="1" applyFill="1" applyBorder="1" applyAlignment="1">
      <alignment horizontal="center" vertical="center" textRotation="90" wrapText="1"/>
    </xf>
    <xf numFmtId="0" fontId="32" fillId="0" borderId="14" xfId="0" applyFont="1" applyBorder="1" applyAlignment="1">
      <alignment horizontal="center" wrapText="1"/>
    </xf>
    <xf numFmtId="0" fontId="26" fillId="44" borderId="13" xfId="0" applyFont="1" applyFill="1" applyBorder="1" applyAlignment="1">
      <alignment horizontal="center" vertical="center" textRotation="90" wrapText="1"/>
    </xf>
    <xf numFmtId="0" fontId="0" fillId="0" borderId="14" xfId="0" applyBorder="1" applyAlignment="1">
      <alignment horizontal="center" wrapText="1"/>
    </xf>
    <xf numFmtId="0" fontId="21" fillId="46" borderId="14" xfId="0" applyFont="1" applyFill="1" applyBorder="1" applyAlignment="1">
      <alignment horizontal="center" vertical="center" wrapText="1"/>
    </xf>
    <xf numFmtId="0" fontId="18" fillId="36" borderId="32" xfId="0" applyFont="1" applyFill="1" applyBorder="1" applyAlignment="1">
      <alignment horizontal="center" wrapText="1"/>
    </xf>
    <xf numFmtId="0" fontId="18" fillId="36" borderId="21" xfId="0" applyFont="1" applyFill="1" applyBorder="1" applyAlignment="1">
      <alignment horizontal="center" wrapText="1"/>
    </xf>
    <xf numFmtId="0" fontId="18" fillId="36" borderId="22" xfId="0" applyFont="1" applyFill="1" applyBorder="1" applyAlignment="1">
      <alignment horizontal="center" wrapText="1"/>
    </xf>
    <xf numFmtId="0" fontId="18" fillId="45" borderId="15" xfId="0" applyFont="1" applyFill="1" applyBorder="1" applyAlignment="1">
      <alignment horizontal="center" wrapText="1"/>
    </xf>
    <xf numFmtId="0" fontId="18" fillId="45" borderId="11" xfId="0" applyFont="1" applyFill="1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34" borderId="36" xfId="0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34" borderId="35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34" borderId="23" xfId="0" applyFill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0" fillId="33" borderId="13" xfId="0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21" fillId="40" borderId="37" xfId="0" applyFont="1" applyFill="1" applyBorder="1" applyAlignment="1">
      <alignment horizontal="center" vertical="center" textRotation="90" wrapText="1"/>
    </xf>
    <xf numFmtId="0" fontId="0" fillId="0" borderId="37" xfId="0" applyBorder="1" applyAlignment="1">
      <alignment horizontal="center" vertical="center" textRotation="90" wrapText="1"/>
    </xf>
    <xf numFmtId="0" fontId="29" fillId="40" borderId="37" xfId="0" applyFont="1" applyFill="1" applyBorder="1" applyAlignment="1">
      <alignment horizontal="center" vertical="center" textRotation="90" wrapText="1"/>
    </xf>
    <xf numFmtId="0" fontId="30" fillId="0" borderId="37" xfId="0" applyFont="1" applyBorder="1" applyAlignment="1">
      <alignment horizontal="center" vertical="center" textRotation="90" wrapText="1"/>
    </xf>
    <xf numFmtId="0" fontId="0" fillId="35" borderId="13" xfId="0" applyFill="1" applyBorder="1" applyAlignment="1">
      <alignment horizontal="center" wrapText="1"/>
    </xf>
    <xf numFmtId="0" fontId="31" fillId="43" borderId="35" xfId="0" applyFont="1" applyFill="1" applyBorder="1" applyAlignment="1">
      <alignment horizontal="center" vertical="center" textRotation="90" wrapText="1"/>
    </xf>
    <xf numFmtId="0" fontId="0" fillId="33" borderId="35" xfId="0" applyFill="1" applyBorder="1" applyAlignment="1">
      <alignment horizontal="center" wrapText="1"/>
    </xf>
    <xf numFmtId="0" fontId="19" fillId="43" borderId="13" xfId="0" applyFont="1" applyFill="1" applyBorder="1" applyAlignment="1">
      <alignment horizontal="center" vertical="center" textRotation="90" wrapText="1"/>
    </xf>
    <xf numFmtId="0" fontId="19" fillId="47" borderId="13" xfId="0" applyFont="1" applyFill="1" applyBorder="1" applyAlignment="1">
      <alignment horizontal="center" vertical="center" textRotation="90" wrapText="1"/>
    </xf>
    <xf numFmtId="0" fontId="16" fillId="48" borderId="20" xfId="0" applyFont="1" applyFill="1" applyBorder="1" applyAlignment="1">
      <alignment horizontal="center" vertical="center" wrapText="1"/>
    </xf>
    <xf numFmtId="0" fontId="0" fillId="0" borderId="26" xfId="0" applyBorder="1"/>
    <xf numFmtId="0" fontId="16" fillId="48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19" fillId="42" borderId="35" xfId="0" applyFont="1" applyFill="1" applyBorder="1" applyAlignment="1">
      <alignment horizontal="center" vertical="center" textRotation="90" wrapText="1"/>
    </xf>
    <xf numFmtId="0" fontId="21" fillId="46" borderId="20" xfId="0" applyFont="1" applyFill="1" applyBorder="1" applyAlignment="1">
      <alignment horizontal="center" vertical="center" textRotation="90" wrapText="1"/>
    </xf>
    <xf numFmtId="0" fontId="0" fillId="46" borderId="37" xfId="0" applyFill="1" applyBorder="1" applyAlignment="1">
      <alignment horizontal="center" textRotation="90" wrapText="1"/>
    </xf>
    <xf numFmtId="0" fontId="0" fillId="46" borderId="26" xfId="0" applyFill="1" applyBorder="1" applyAlignment="1">
      <alignment horizontal="center" textRotation="90" wrapText="1"/>
    </xf>
    <xf numFmtId="0" fontId="16" fillId="46" borderId="37" xfId="0" applyFont="1" applyFill="1" applyBorder="1" applyAlignment="1">
      <alignment horizontal="center" textRotation="90" wrapText="1"/>
    </xf>
    <xf numFmtId="0" fontId="16" fillId="46" borderId="26" xfId="0" applyFont="1" applyFill="1" applyBorder="1" applyAlignment="1">
      <alignment horizontal="center" textRotation="90" wrapText="1"/>
    </xf>
    <xf numFmtId="0" fontId="19" fillId="47" borderId="35" xfId="0" applyFont="1" applyFill="1" applyBorder="1" applyAlignment="1">
      <alignment horizontal="center" vertical="center" textRotation="90" wrapText="1"/>
    </xf>
    <xf numFmtId="0" fontId="21" fillId="37" borderId="20" xfId="0" applyFont="1" applyFill="1" applyBorder="1" applyAlignment="1">
      <alignment horizontal="center" vertical="center" textRotation="90" wrapText="1"/>
    </xf>
    <xf numFmtId="0" fontId="0" fillId="0" borderId="37" xfId="0" applyBorder="1" applyAlignment="1">
      <alignment horizontal="center" textRotation="90" wrapText="1"/>
    </xf>
    <xf numFmtId="0" fontId="0" fillId="0" borderId="26" xfId="0" applyBorder="1" applyAlignment="1">
      <alignment horizontal="center" textRotation="90" wrapText="1"/>
    </xf>
    <xf numFmtId="0" fontId="19" fillId="42" borderId="13" xfId="0" applyFont="1" applyFill="1" applyBorder="1" applyAlignment="1">
      <alignment horizontal="center" vertical="center" textRotation="90" wrapText="1"/>
    </xf>
    <xf numFmtId="0" fontId="21" fillId="39" borderId="38" xfId="0" applyFont="1" applyFill="1" applyBorder="1" applyAlignment="1">
      <alignment horizontal="center" vertical="center" textRotation="90" wrapText="1"/>
    </xf>
    <xf numFmtId="0" fontId="0" fillId="0" borderId="39" xfId="0" applyBorder="1" applyAlignment="1">
      <alignment horizontal="center" textRotation="90" wrapText="1"/>
    </xf>
    <xf numFmtId="0" fontId="0" fillId="0" borderId="33" xfId="0" applyBorder="1" applyAlignment="1">
      <alignment horizontal="center" textRotation="90" wrapText="1"/>
    </xf>
    <xf numFmtId="0" fontId="21" fillId="39" borderId="20" xfId="0" applyFont="1" applyFill="1" applyBorder="1" applyAlignment="1">
      <alignment horizontal="center" vertical="center" textRotation="90" wrapText="1"/>
    </xf>
    <xf numFmtId="0" fontId="16" fillId="0" borderId="37" xfId="0" applyFont="1" applyBorder="1" applyAlignment="1">
      <alignment horizontal="center" textRotation="90" wrapText="1"/>
    </xf>
    <xf numFmtId="0" fontId="16" fillId="0" borderId="26" xfId="0" applyFont="1" applyBorder="1" applyAlignment="1">
      <alignment horizontal="center" textRotation="90" wrapText="1"/>
    </xf>
    <xf numFmtId="0" fontId="21" fillId="46" borderId="38" xfId="0" applyFont="1" applyFill="1" applyBorder="1" applyAlignment="1">
      <alignment horizontal="center" vertical="center" textRotation="90" wrapText="1"/>
    </xf>
    <xf numFmtId="0" fontId="0" fillId="46" borderId="39" xfId="0" applyFill="1" applyBorder="1" applyAlignment="1">
      <alignment horizontal="center" textRotation="90" wrapText="1"/>
    </xf>
    <xf numFmtId="0" fontId="0" fillId="46" borderId="33" xfId="0" applyFill="1" applyBorder="1" applyAlignment="1">
      <alignment horizontal="center" textRotation="90" wrapText="1"/>
    </xf>
    <xf numFmtId="0" fontId="29" fillId="37" borderId="20" xfId="0" applyFont="1" applyFill="1" applyBorder="1" applyAlignment="1">
      <alignment horizontal="center" vertical="center" textRotation="90" wrapText="1"/>
    </xf>
    <xf numFmtId="0" fontId="30" fillId="0" borderId="37" xfId="0" applyFont="1" applyBorder="1" applyAlignment="1">
      <alignment horizontal="center" textRotation="90" wrapText="1"/>
    </xf>
    <xf numFmtId="0" fontId="30" fillId="0" borderId="26" xfId="0" applyFont="1" applyBorder="1" applyAlignment="1">
      <alignment horizontal="center" textRotation="90" wrapText="1"/>
    </xf>
    <xf numFmtId="0" fontId="21" fillId="37" borderId="38" xfId="0" applyFont="1" applyFill="1" applyBorder="1" applyAlignment="1">
      <alignment horizontal="center" vertical="center" textRotation="90" wrapText="1"/>
    </xf>
    <xf numFmtId="0" fontId="37" fillId="49" borderId="10" xfId="0" applyFont="1" applyFill="1" applyBorder="1" applyAlignment="1">
      <alignment horizontal="center"/>
    </xf>
    <xf numFmtId="0" fontId="37" fillId="49" borderId="15" xfId="0" applyFont="1" applyFill="1" applyBorder="1"/>
    <xf numFmtId="0" fontId="37" fillId="49" borderId="11" xfId="0" applyFont="1" applyFill="1" applyBorder="1"/>
    <xf numFmtId="0" fontId="14" fillId="49" borderId="12" xfId="0" applyFont="1" applyFill="1" applyBorder="1" applyAlignment="1">
      <alignment horizontal="center" wrapText="1"/>
    </xf>
    <xf numFmtId="0" fontId="0" fillId="50" borderId="27" xfId="0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51" borderId="12" xfId="0" applyFill="1" applyBorder="1" applyAlignment="1">
      <alignment horizontal="center" wrapText="1"/>
    </xf>
    <xf numFmtId="0" fontId="0" fillId="45" borderId="13" xfId="0" applyFill="1" applyBorder="1" applyAlignment="1">
      <alignment horizontal="center" wrapText="1"/>
    </xf>
    <xf numFmtId="0" fontId="0" fillId="45" borderId="14" xfId="0" applyFill="1" applyBorder="1" applyAlignment="1">
      <alignment horizontal="center" wrapText="1"/>
    </xf>
    <xf numFmtId="0" fontId="0" fillId="34" borderId="24" xfId="0" applyFill="1" applyBorder="1" applyAlignment="1">
      <alignment horizontal="center" wrapText="1"/>
    </xf>
    <xf numFmtId="0" fontId="0" fillId="49" borderId="13" xfId="0" applyFill="1" applyBorder="1" applyAlignment="1">
      <alignment horizontal="center" wrapText="1"/>
    </xf>
    <xf numFmtId="0" fontId="0" fillId="49" borderId="14" xfId="0" applyFill="1" applyBorder="1" applyAlignment="1">
      <alignment horizontal="center" wrapText="1"/>
    </xf>
    <xf numFmtId="0" fontId="0" fillId="33" borderId="14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21" fillId="46" borderId="16" xfId="0" applyFont="1" applyFill="1" applyBorder="1" applyAlignment="1">
      <alignment horizontal="center" vertical="center" wrapText="1"/>
    </xf>
    <xf numFmtId="0" fontId="18" fillId="45" borderId="10" xfId="0" applyFont="1" applyFill="1" applyBorder="1" applyAlignment="1">
      <alignment horizontal="center" wrapText="1"/>
    </xf>
    <xf numFmtId="0" fontId="18" fillId="52" borderId="0" xfId="0" applyFont="1" applyFill="1" applyAlignment="1">
      <alignment horizontal="center" wrapText="1"/>
    </xf>
    <xf numFmtId="0" fontId="18" fillId="53" borderId="0" xfId="0" applyFont="1" applyFill="1" applyAlignment="1">
      <alignment horizontal="left" wrapText="1"/>
    </xf>
    <xf numFmtId="0" fontId="38" fillId="49" borderId="12" xfId="0" applyFont="1" applyFill="1" applyBorder="1" applyAlignment="1">
      <alignment horizontal="center" wrapText="1"/>
    </xf>
    <xf numFmtId="0" fontId="41" fillId="47" borderId="12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D5D5"/>
      <color rgb="FFFF8585"/>
      <color rgb="FFFF3F3F"/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14</xdr:row>
      <xdr:rowOff>91440</xdr:rowOff>
    </xdr:from>
    <xdr:to>
      <xdr:col>2</xdr:col>
      <xdr:colOff>327660</xdr:colOff>
      <xdr:row>16</xdr:row>
      <xdr:rowOff>83820</xdr:rowOff>
    </xdr:to>
    <xdr:sp macro="" textlink="">
      <xdr:nvSpPr>
        <xdr:cNvPr id="2" name="Flecha: curvada hacia la derecha 1">
          <a:extLst>
            <a:ext uri="{FF2B5EF4-FFF2-40B4-BE49-F238E27FC236}">
              <a16:creationId xmlns:a16="http://schemas.microsoft.com/office/drawing/2014/main" id="{52367207-1FCD-6A05-7E52-A3B4AD8C9354}"/>
            </a:ext>
          </a:extLst>
        </xdr:cNvPr>
        <xdr:cNvSpPr/>
      </xdr:nvSpPr>
      <xdr:spPr>
        <a:xfrm>
          <a:off x="982980" y="2697480"/>
          <a:ext cx="137160" cy="35814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255A-A005-4DBE-8ABD-1DEA2645A047}">
  <dimension ref="A1:DM123"/>
  <sheetViews>
    <sheetView showGridLines="0" zoomScale="90" zoomScaleNormal="90" workbookViewId="0">
      <pane xSplit="3" ySplit="6" topLeftCell="AA7" activePane="bottomRight" state="frozen"/>
      <selection pane="topRight" activeCell="C1" sqref="C1"/>
      <selection pane="bottomLeft" activeCell="A7" sqref="A7"/>
      <selection pane="bottomRight" activeCell="G22" sqref="G22"/>
    </sheetView>
  </sheetViews>
  <sheetFormatPr baseColWidth="10" defaultRowHeight="14.4" x14ac:dyDescent="0.3"/>
  <cols>
    <col min="1" max="1" width="3" bestFit="1" customWidth="1"/>
    <col min="2" max="2" width="15" customWidth="1"/>
    <col min="3" max="3" width="22.77734375" style="19" customWidth="1"/>
    <col min="4" max="31" width="5.77734375" customWidth="1"/>
    <col min="32" max="32" width="5.77734375" style="22" customWidth="1"/>
    <col min="33" max="69" width="5.77734375" customWidth="1"/>
    <col min="70" max="70" width="5.77734375" style="22" customWidth="1"/>
    <col min="71" max="87" width="5.77734375" customWidth="1"/>
    <col min="88" max="88" width="5.77734375" style="22" customWidth="1"/>
    <col min="89" max="101" width="5.77734375" customWidth="1"/>
    <col min="102" max="102" width="5.77734375" style="22" customWidth="1"/>
    <col min="103" max="103" width="5.77734375" customWidth="1"/>
    <col min="104" max="105" width="10.77734375" customWidth="1"/>
  </cols>
  <sheetData>
    <row r="1" spans="1:117" x14ac:dyDescent="0.3">
      <c r="B1" s="87" t="s">
        <v>295</v>
      </c>
      <c r="C1" s="88"/>
    </row>
    <row r="2" spans="1:117" ht="16.8" customHeight="1" thickBot="1" x14ac:dyDescent="0.35">
      <c r="B2" s="89"/>
      <c r="C2" s="89"/>
    </row>
    <row r="3" spans="1:117" ht="21" customHeight="1" x14ac:dyDescent="0.3">
      <c r="B3" s="89"/>
      <c r="C3" s="89"/>
      <c r="D3" s="91" t="s">
        <v>0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3"/>
      <c r="AH3" s="107" t="s">
        <v>1</v>
      </c>
      <c r="AI3" s="107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9"/>
      <c r="BT3" s="110" t="s">
        <v>2</v>
      </c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1"/>
      <c r="CL3" s="75" t="s">
        <v>3</v>
      </c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7"/>
    </row>
    <row r="4" spans="1:117" s="2" customFormat="1" ht="46.2" customHeight="1" x14ac:dyDescent="0.3">
      <c r="B4" s="90"/>
      <c r="C4" s="90"/>
      <c r="D4" s="78" t="s">
        <v>4</v>
      </c>
      <c r="E4" s="79"/>
      <c r="F4" s="80"/>
      <c r="G4" s="80" t="s">
        <v>5</v>
      </c>
      <c r="H4" s="80"/>
      <c r="I4" s="80"/>
      <c r="J4" s="80" t="s">
        <v>6</v>
      </c>
      <c r="K4" s="80"/>
      <c r="L4" s="80"/>
      <c r="M4" s="80"/>
      <c r="N4" s="80"/>
      <c r="O4" s="80" t="s">
        <v>7</v>
      </c>
      <c r="P4" s="80"/>
      <c r="Q4" s="80"/>
      <c r="R4" s="80"/>
      <c r="S4" s="80"/>
      <c r="T4" s="80" t="s">
        <v>8</v>
      </c>
      <c r="U4" s="80"/>
      <c r="V4" s="80"/>
      <c r="W4" s="80"/>
      <c r="X4" s="80"/>
      <c r="Y4" s="80" t="s">
        <v>9</v>
      </c>
      <c r="Z4" s="80"/>
      <c r="AA4" s="80"/>
      <c r="AB4" s="124" t="s">
        <v>309</v>
      </c>
      <c r="AC4" s="126" t="s">
        <v>310</v>
      </c>
      <c r="AD4" s="124" t="s">
        <v>322</v>
      </c>
      <c r="AE4" s="126" t="s">
        <v>307</v>
      </c>
      <c r="AF4" s="96" t="s">
        <v>308</v>
      </c>
      <c r="AG4" s="99" t="s">
        <v>294</v>
      </c>
      <c r="AH4" s="85" t="s">
        <v>10</v>
      </c>
      <c r="AI4" s="85"/>
      <c r="AJ4" s="86"/>
      <c r="AK4" s="86" t="s">
        <v>11</v>
      </c>
      <c r="AL4" s="86"/>
      <c r="AM4" s="86"/>
      <c r="AN4" s="86"/>
      <c r="AO4" s="86"/>
      <c r="AP4" s="86"/>
      <c r="AQ4" s="86"/>
      <c r="AR4" s="86"/>
      <c r="AS4" s="86"/>
      <c r="AT4" s="86" t="s">
        <v>12</v>
      </c>
      <c r="AU4" s="86"/>
      <c r="AV4" s="86"/>
      <c r="AW4" s="86"/>
      <c r="AX4" s="86"/>
      <c r="AY4" s="86"/>
      <c r="AZ4" s="86"/>
      <c r="BA4" s="86" t="s">
        <v>13</v>
      </c>
      <c r="BB4" s="86"/>
      <c r="BC4" s="86"/>
      <c r="BD4" s="86"/>
      <c r="BE4" s="86"/>
      <c r="BF4" s="86" t="s">
        <v>14</v>
      </c>
      <c r="BG4" s="86"/>
      <c r="BH4" s="86"/>
      <c r="BI4" s="86" t="s">
        <v>15</v>
      </c>
      <c r="BJ4" s="86"/>
      <c r="BK4" s="86"/>
      <c r="BL4" s="86"/>
      <c r="BM4" s="86"/>
      <c r="BN4" s="144" t="s">
        <v>309</v>
      </c>
      <c r="BO4" s="157" t="s">
        <v>321</v>
      </c>
      <c r="BP4" s="144" t="s">
        <v>322</v>
      </c>
      <c r="BQ4" s="157" t="s">
        <v>307</v>
      </c>
      <c r="BR4" s="144" t="s">
        <v>308</v>
      </c>
      <c r="BS4" s="160" t="s">
        <v>294</v>
      </c>
      <c r="BT4" s="106" t="s">
        <v>16</v>
      </c>
      <c r="BU4" s="106"/>
      <c r="BV4" s="106"/>
      <c r="BW4" s="81"/>
      <c r="BX4" s="81"/>
      <c r="BY4" s="81"/>
      <c r="BZ4" s="81"/>
      <c r="CA4" s="81" t="s">
        <v>17</v>
      </c>
      <c r="CB4" s="81"/>
      <c r="CC4" s="81"/>
      <c r="CD4" s="81"/>
      <c r="CE4" s="81"/>
      <c r="CF4" s="138" t="s">
        <v>309</v>
      </c>
      <c r="CG4" s="138" t="s">
        <v>321</v>
      </c>
      <c r="CH4" s="138" t="s">
        <v>322</v>
      </c>
      <c r="CI4" s="138" t="s">
        <v>307</v>
      </c>
      <c r="CJ4" s="138" t="s">
        <v>308</v>
      </c>
      <c r="CK4" s="154" t="s">
        <v>294</v>
      </c>
      <c r="CL4" s="82" t="s">
        <v>18</v>
      </c>
      <c r="CM4" s="83"/>
      <c r="CN4" s="83"/>
      <c r="CO4" s="84"/>
      <c r="CP4" s="84"/>
      <c r="CQ4" s="84" t="s">
        <v>19</v>
      </c>
      <c r="CR4" s="84"/>
      <c r="CS4" s="84"/>
      <c r="CT4" s="151" t="s">
        <v>309</v>
      </c>
      <c r="CU4" s="151" t="s">
        <v>321</v>
      </c>
      <c r="CV4" s="151" t="s">
        <v>322</v>
      </c>
      <c r="CW4" s="151" t="s">
        <v>327</v>
      </c>
      <c r="CX4" s="151" t="s">
        <v>308</v>
      </c>
      <c r="CY4" s="148" t="s">
        <v>294</v>
      </c>
    </row>
    <row r="5" spans="1:117" s="1" customFormat="1" ht="72.599999999999994" customHeight="1" x14ac:dyDescent="0.3">
      <c r="A5" s="133" t="s">
        <v>323</v>
      </c>
      <c r="B5" s="133" t="s">
        <v>20</v>
      </c>
      <c r="C5" s="135" t="s">
        <v>21</v>
      </c>
      <c r="D5" s="94" t="s">
        <v>296</v>
      </c>
      <c r="E5" s="95"/>
      <c r="F5" s="6" t="s">
        <v>22</v>
      </c>
      <c r="G5" s="94" t="s">
        <v>297</v>
      </c>
      <c r="H5" s="119"/>
      <c r="I5" s="6" t="s">
        <v>22</v>
      </c>
      <c r="J5" s="104" t="s">
        <v>303</v>
      </c>
      <c r="K5" s="123"/>
      <c r="L5" s="104" t="s">
        <v>300</v>
      </c>
      <c r="M5" s="123"/>
      <c r="N5" s="6" t="s">
        <v>22</v>
      </c>
      <c r="O5" s="104" t="s">
        <v>301</v>
      </c>
      <c r="P5" s="123"/>
      <c r="Q5" s="104" t="s">
        <v>302</v>
      </c>
      <c r="R5" s="123"/>
      <c r="S5" s="6" t="s">
        <v>22</v>
      </c>
      <c r="T5" s="104" t="s">
        <v>305</v>
      </c>
      <c r="U5" s="123"/>
      <c r="V5" s="104" t="s">
        <v>304</v>
      </c>
      <c r="W5" s="123"/>
      <c r="X5" s="6" t="s">
        <v>22</v>
      </c>
      <c r="Y5" s="104" t="s">
        <v>306</v>
      </c>
      <c r="Z5" s="105"/>
      <c r="AA5" s="6" t="s">
        <v>22</v>
      </c>
      <c r="AB5" s="125"/>
      <c r="AC5" s="127"/>
      <c r="AD5" s="125"/>
      <c r="AE5" s="127"/>
      <c r="AF5" s="97"/>
      <c r="AG5" s="100"/>
      <c r="AH5" s="129" t="s">
        <v>311</v>
      </c>
      <c r="AI5" s="103"/>
      <c r="AJ5" s="5" t="s">
        <v>22</v>
      </c>
      <c r="AK5" s="102" t="s">
        <v>312</v>
      </c>
      <c r="AL5" s="103"/>
      <c r="AM5" s="102" t="s">
        <v>313</v>
      </c>
      <c r="AN5" s="103"/>
      <c r="AO5" s="102" t="s">
        <v>314</v>
      </c>
      <c r="AP5" s="105"/>
      <c r="AQ5" s="102" t="s">
        <v>315</v>
      </c>
      <c r="AR5" s="105"/>
      <c r="AS5" s="5" t="s">
        <v>22</v>
      </c>
      <c r="AT5" s="131" t="s">
        <v>317</v>
      </c>
      <c r="AU5" s="105"/>
      <c r="AV5" s="131" t="s">
        <v>23</v>
      </c>
      <c r="AW5" s="105"/>
      <c r="AX5" s="131" t="s">
        <v>24</v>
      </c>
      <c r="AY5" s="105"/>
      <c r="AZ5" s="5" t="s">
        <v>22</v>
      </c>
      <c r="BA5" s="131" t="s">
        <v>25</v>
      </c>
      <c r="BB5" s="105"/>
      <c r="BC5" s="131" t="s">
        <v>26</v>
      </c>
      <c r="BD5" s="105"/>
      <c r="BE5" s="5" t="s">
        <v>22</v>
      </c>
      <c r="BF5" s="131" t="s">
        <v>318</v>
      </c>
      <c r="BG5" s="105"/>
      <c r="BH5" s="5" t="s">
        <v>22</v>
      </c>
      <c r="BI5" s="131" t="s">
        <v>319</v>
      </c>
      <c r="BJ5" s="105"/>
      <c r="BK5" s="131" t="s">
        <v>320</v>
      </c>
      <c r="BL5" s="105"/>
      <c r="BM5" s="5" t="s">
        <v>22</v>
      </c>
      <c r="BN5" s="145"/>
      <c r="BO5" s="158"/>
      <c r="BP5" s="145"/>
      <c r="BQ5" s="158"/>
      <c r="BR5" s="152"/>
      <c r="BS5" s="149"/>
      <c r="BT5" s="143" t="s">
        <v>27</v>
      </c>
      <c r="BU5" s="105"/>
      <c r="BV5" s="132" t="s">
        <v>28</v>
      </c>
      <c r="BW5" s="105"/>
      <c r="BX5" s="132" t="s">
        <v>29</v>
      </c>
      <c r="BY5" s="105"/>
      <c r="BZ5" s="30" t="s">
        <v>22</v>
      </c>
      <c r="CA5" s="132" t="s">
        <v>30</v>
      </c>
      <c r="CB5" s="105"/>
      <c r="CC5" s="132" t="s">
        <v>31</v>
      </c>
      <c r="CD5" s="105"/>
      <c r="CE5" s="30" t="s">
        <v>22</v>
      </c>
      <c r="CF5" s="139"/>
      <c r="CG5" s="139"/>
      <c r="CH5" s="139"/>
      <c r="CI5" s="139"/>
      <c r="CJ5" s="141"/>
      <c r="CK5" s="155"/>
      <c r="CL5" s="137" t="s">
        <v>324</v>
      </c>
      <c r="CM5" s="105"/>
      <c r="CN5" s="147" t="s">
        <v>325</v>
      </c>
      <c r="CO5" s="105"/>
      <c r="CP5" s="4" t="s">
        <v>22</v>
      </c>
      <c r="CQ5" s="147" t="s">
        <v>326</v>
      </c>
      <c r="CR5" s="105"/>
      <c r="CS5" s="4" t="s">
        <v>22</v>
      </c>
      <c r="CT5" s="145"/>
      <c r="CU5" s="145"/>
      <c r="CV5" s="145"/>
      <c r="CW5" s="145"/>
      <c r="CX5" s="152"/>
      <c r="CY5" s="149"/>
    </row>
    <row r="6" spans="1:117" s="3" customFormat="1" x14ac:dyDescent="0.3">
      <c r="A6" s="134"/>
      <c r="B6" s="134"/>
      <c r="C6" s="136"/>
      <c r="D6" s="7" t="s">
        <v>299</v>
      </c>
      <c r="E6" s="8">
        <v>1</v>
      </c>
      <c r="F6" s="9">
        <f>C6+E6</f>
        <v>1</v>
      </c>
      <c r="G6" s="7" t="s">
        <v>299</v>
      </c>
      <c r="H6" s="8">
        <v>1</v>
      </c>
      <c r="I6" s="9">
        <f>H6</f>
        <v>1</v>
      </c>
      <c r="J6" s="7" t="s">
        <v>298</v>
      </c>
      <c r="K6" s="8">
        <v>0.3</v>
      </c>
      <c r="L6" s="7" t="s">
        <v>299</v>
      </c>
      <c r="M6" s="8">
        <v>0.7</v>
      </c>
      <c r="N6" s="9">
        <f>K6+M6</f>
        <v>1</v>
      </c>
      <c r="O6" s="7" t="s">
        <v>299</v>
      </c>
      <c r="P6" s="8">
        <v>0.9</v>
      </c>
      <c r="Q6" s="7" t="s">
        <v>298</v>
      </c>
      <c r="R6" s="8">
        <v>0.1</v>
      </c>
      <c r="S6" s="9">
        <f>P6+R6</f>
        <v>1</v>
      </c>
      <c r="T6" s="7" t="s">
        <v>299</v>
      </c>
      <c r="U6" s="8">
        <v>0.1</v>
      </c>
      <c r="V6" s="7" t="s">
        <v>299</v>
      </c>
      <c r="W6" s="8">
        <v>0.9</v>
      </c>
      <c r="X6" s="9">
        <f>U6+W6</f>
        <v>1</v>
      </c>
      <c r="Y6" s="7" t="s">
        <v>299</v>
      </c>
      <c r="Z6" s="8">
        <v>1</v>
      </c>
      <c r="AA6" s="9">
        <f>Z6</f>
        <v>1</v>
      </c>
      <c r="AB6" s="98"/>
      <c r="AC6" s="98"/>
      <c r="AD6" s="98"/>
      <c r="AE6" s="98"/>
      <c r="AF6" s="98"/>
      <c r="AG6" s="101"/>
      <c r="AH6" s="27" t="s">
        <v>299</v>
      </c>
      <c r="AI6" s="28">
        <v>1</v>
      </c>
      <c r="AJ6" s="29">
        <f>AG6+AI6</f>
        <v>1</v>
      </c>
      <c r="AK6" s="27" t="s">
        <v>316</v>
      </c>
      <c r="AL6" s="28">
        <v>0.1</v>
      </c>
      <c r="AM6" s="27" t="s">
        <v>299</v>
      </c>
      <c r="AN6" s="28">
        <v>0.5</v>
      </c>
      <c r="AO6" s="27" t="s">
        <v>299</v>
      </c>
      <c r="AP6" s="28">
        <v>0.3</v>
      </c>
      <c r="AQ6" s="27" t="s">
        <v>299</v>
      </c>
      <c r="AR6" s="28">
        <v>0.1</v>
      </c>
      <c r="AS6" s="29">
        <f>AL6+AN6+AP6+AR6</f>
        <v>0.99999999999999989</v>
      </c>
      <c r="AT6" s="27" t="s">
        <v>299</v>
      </c>
      <c r="AU6" s="28">
        <v>0.3</v>
      </c>
      <c r="AV6" s="27" t="s">
        <v>299</v>
      </c>
      <c r="AW6" s="28">
        <v>0.4</v>
      </c>
      <c r="AX6" s="27" t="s">
        <v>299</v>
      </c>
      <c r="AY6" s="28">
        <v>0.3</v>
      </c>
      <c r="AZ6" s="29">
        <f>AU6+AW6+AY6</f>
        <v>1</v>
      </c>
      <c r="BA6" s="27" t="s">
        <v>299</v>
      </c>
      <c r="BB6" s="28">
        <v>0.7</v>
      </c>
      <c r="BC6" s="27" t="s">
        <v>299</v>
      </c>
      <c r="BD6" s="28">
        <v>0.3</v>
      </c>
      <c r="BE6" s="29">
        <f>BB6+BD6</f>
        <v>1</v>
      </c>
      <c r="BF6" s="27" t="s">
        <v>299</v>
      </c>
      <c r="BG6" s="28">
        <v>1</v>
      </c>
      <c r="BH6" s="29">
        <f>BG6</f>
        <v>1</v>
      </c>
      <c r="BI6" s="27" t="s">
        <v>299</v>
      </c>
      <c r="BJ6" s="28">
        <v>0.6</v>
      </c>
      <c r="BK6" s="27" t="s">
        <v>299</v>
      </c>
      <c r="BL6" s="28">
        <v>0.4</v>
      </c>
      <c r="BM6" s="29">
        <f>BJ6+BL6</f>
        <v>1</v>
      </c>
      <c r="BN6" s="146"/>
      <c r="BO6" s="159"/>
      <c r="BP6" s="146"/>
      <c r="BQ6" s="159"/>
      <c r="BR6" s="153"/>
      <c r="BS6" s="150"/>
      <c r="BT6" s="32" t="s">
        <v>316</v>
      </c>
      <c r="BU6" s="33">
        <v>0.2</v>
      </c>
      <c r="BV6" s="32" t="s">
        <v>299</v>
      </c>
      <c r="BW6" s="33">
        <v>0.4</v>
      </c>
      <c r="BX6" s="32" t="s">
        <v>298</v>
      </c>
      <c r="BY6" s="33">
        <v>0.4</v>
      </c>
      <c r="BZ6" s="31">
        <f>BU6+BW6+BY6</f>
        <v>1</v>
      </c>
      <c r="CA6" s="32" t="s">
        <v>299</v>
      </c>
      <c r="CB6" s="33">
        <v>0.5</v>
      </c>
      <c r="CC6" s="32" t="s">
        <v>299</v>
      </c>
      <c r="CD6" s="33">
        <v>0.5</v>
      </c>
      <c r="CE6" s="31">
        <f>CB6+CD6</f>
        <v>1</v>
      </c>
      <c r="CF6" s="140"/>
      <c r="CG6" s="140"/>
      <c r="CH6" s="140"/>
      <c r="CI6" s="140"/>
      <c r="CJ6" s="142"/>
      <c r="CK6" s="156"/>
      <c r="CL6" s="36" t="s">
        <v>299</v>
      </c>
      <c r="CM6" s="37">
        <v>0.7</v>
      </c>
      <c r="CN6" s="36" t="s">
        <v>299</v>
      </c>
      <c r="CO6" s="37">
        <v>0.3</v>
      </c>
      <c r="CP6" s="35">
        <f>CM6+CO6</f>
        <v>1</v>
      </c>
      <c r="CQ6" s="36" t="s">
        <v>299</v>
      </c>
      <c r="CR6" s="37">
        <v>1</v>
      </c>
      <c r="CS6" s="35">
        <f>CR6</f>
        <v>1</v>
      </c>
      <c r="CT6" s="146"/>
      <c r="CU6" s="146"/>
      <c r="CV6" s="146"/>
      <c r="CW6" s="146"/>
      <c r="CX6" s="153"/>
      <c r="CY6" s="15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</row>
    <row r="7" spans="1:117" s="3" customFormat="1" x14ac:dyDescent="0.3">
      <c r="A7" s="34">
        <v>1</v>
      </c>
      <c r="B7" s="20" t="s">
        <v>32</v>
      </c>
      <c r="C7" s="20" t="s">
        <v>33</v>
      </c>
      <c r="D7" s="116" t="s">
        <v>34</v>
      </c>
      <c r="E7" s="117"/>
      <c r="F7" s="11" t="s">
        <v>34</v>
      </c>
      <c r="G7" s="120" t="s">
        <v>34</v>
      </c>
      <c r="H7" s="105"/>
      <c r="I7" s="11" t="s">
        <v>34</v>
      </c>
      <c r="J7" s="120" t="s">
        <v>34</v>
      </c>
      <c r="K7" s="105"/>
      <c r="L7" s="120" t="s">
        <v>34</v>
      </c>
      <c r="M7" s="105"/>
      <c r="N7" s="11" t="s">
        <v>34</v>
      </c>
      <c r="O7" s="120" t="s">
        <v>34</v>
      </c>
      <c r="P7" s="105"/>
      <c r="Q7" s="120" t="s">
        <v>34</v>
      </c>
      <c r="R7" s="105"/>
      <c r="S7" s="11" t="s">
        <v>34</v>
      </c>
      <c r="T7" s="120" t="s">
        <v>34</v>
      </c>
      <c r="U7" s="105"/>
      <c r="V7" s="120" t="s">
        <v>34</v>
      </c>
      <c r="W7" s="105"/>
      <c r="X7" s="11" t="s">
        <v>34</v>
      </c>
      <c r="Y7" s="120" t="s">
        <v>34</v>
      </c>
      <c r="Z7" s="105"/>
      <c r="AA7" s="11" t="s">
        <v>34</v>
      </c>
      <c r="AB7" s="11">
        <v>0</v>
      </c>
      <c r="AC7" s="11" t="s">
        <v>34</v>
      </c>
      <c r="AD7" s="11" t="s">
        <v>34</v>
      </c>
      <c r="AE7" s="11" t="s">
        <v>34</v>
      </c>
      <c r="AF7" s="23">
        <v>0</v>
      </c>
      <c r="AG7" s="12" t="s">
        <v>35</v>
      </c>
      <c r="AH7" s="130" t="s">
        <v>34</v>
      </c>
      <c r="AI7" s="105"/>
      <c r="AJ7" s="11" t="s">
        <v>34</v>
      </c>
      <c r="AK7" s="120" t="s">
        <v>34</v>
      </c>
      <c r="AL7" s="105"/>
      <c r="AM7" s="120" t="s">
        <v>34</v>
      </c>
      <c r="AN7" s="105"/>
      <c r="AO7" s="120" t="s">
        <v>34</v>
      </c>
      <c r="AP7" s="105"/>
      <c r="AQ7" s="120" t="s">
        <v>34</v>
      </c>
      <c r="AR7" s="105"/>
      <c r="AS7" s="11" t="s">
        <v>34</v>
      </c>
      <c r="AT7" s="120" t="s">
        <v>34</v>
      </c>
      <c r="AU7" s="105"/>
      <c r="AV7" s="120" t="s">
        <v>34</v>
      </c>
      <c r="AW7" s="105"/>
      <c r="AX7" s="120" t="s">
        <v>34</v>
      </c>
      <c r="AY7" s="105"/>
      <c r="AZ7" s="11" t="s">
        <v>34</v>
      </c>
      <c r="BA7" s="120" t="s">
        <v>34</v>
      </c>
      <c r="BB7" s="105"/>
      <c r="BC7" s="120" t="s">
        <v>34</v>
      </c>
      <c r="BD7" s="105"/>
      <c r="BE7" s="11" t="s">
        <v>34</v>
      </c>
      <c r="BF7" s="120" t="s">
        <v>34</v>
      </c>
      <c r="BG7" s="105"/>
      <c r="BH7" s="11" t="s">
        <v>34</v>
      </c>
      <c r="BI7" s="120" t="s">
        <v>34</v>
      </c>
      <c r="BJ7" s="105"/>
      <c r="BK7" s="120" t="s">
        <v>34</v>
      </c>
      <c r="BL7" s="105"/>
      <c r="BM7" s="11" t="s">
        <v>34</v>
      </c>
      <c r="BN7" s="11">
        <v>0</v>
      </c>
      <c r="BO7" s="11" t="s">
        <v>34</v>
      </c>
      <c r="BP7" s="11" t="s">
        <v>34</v>
      </c>
      <c r="BQ7" s="11" t="s">
        <v>34</v>
      </c>
      <c r="BR7" s="23">
        <v>0</v>
      </c>
      <c r="BS7" s="12" t="s">
        <v>35</v>
      </c>
      <c r="BT7" s="130" t="s">
        <v>34</v>
      </c>
      <c r="BU7" s="105"/>
      <c r="BV7" s="120" t="s">
        <v>34</v>
      </c>
      <c r="BW7" s="105"/>
      <c r="BX7" s="120" t="s">
        <v>34</v>
      </c>
      <c r="BY7" s="105"/>
      <c r="BZ7" s="11" t="s">
        <v>34</v>
      </c>
      <c r="CA7" s="120" t="s">
        <v>34</v>
      </c>
      <c r="CB7" s="105"/>
      <c r="CC7" s="120" t="s">
        <v>34</v>
      </c>
      <c r="CD7" s="105"/>
      <c r="CE7" s="11" t="s">
        <v>34</v>
      </c>
      <c r="CF7" s="11">
        <v>0</v>
      </c>
      <c r="CG7" s="11" t="s">
        <v>34</v>
      </c>
      <c r="CH7" s="11" t="s">
        <v>34</v>
      </c>
      <c r="CI7" s="11" t="s">
        <v>34</v>
      </c>
      <c r="CJ7" s="23">
        <v>0</v>
      </c>
      <c r="CK7" s="12" t="s">
        <v>35</v>
      </c>
      <c r="CL7" s="130" t="s">
        <v>34</v>
      </c>
      <c r="CM7" s="105"/>
      <c r="CN7" s="120" t="s">
        <v>34</v>
      </c>
      <c r="CO7" s="105"/>
      <c r="CP7" s="11" t="s">
        <v>34</v>
      </c>
      <c r="CQ7" s="120" t="s">
        <v>34</v>
      </c>
      <c r="CR7" s="105"/>
      <c r="CS7" s="11" t="s">
        <v>34</v>
      </c>
      <c r="CT7" s="11">
        <v>0</v>
      </c>
      <c r="CU7" s="11" t="s">
        <v>34</v>
      </c>
      <c r="CV7" s="11" t="s">
        <v>34</v>
      </c>
      <c r="CW7" s="11" t="s">
        <v>34</v>
      </c>
      <c r="CX7" s="23">
        <v>0</v>
      </c>
      <c r="CY7" s="12" t="s">
        <v>35</v>
      </c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</row>
    <row r="8" spans="1:117" s="3" customFormat="1" x14ac:dyDescent="0.3">
      <c r="A8" s="34">
        <v>2</v>
      </c>
      <c r="B8" s="21" t="s">
        <v>36</v>
      </c>
      <c r="C8" s="18" t="s">
        <v>37</v>
      </c>
      <c r="D8" s="115">
        <v>10</v>
      </c>
      <c r="E8" s="105"/>
      <c r="F8" s="13" t="s">
        <v>38</v>
      </c>
      <c r="G8" s="121">
        <v>9</v>
      </c>
      <c r="H8" s="105"/>
      <c r="I8" s="13" t="s">
        <v>39</v>
      </c>
      <c r="J8" s="121" t="s">
        <v>40</v>
      </c>
      <c r="K8" s="105"/>
      <c r="L8" s="121" t="s">
        <v>41</v>
      </c>
      <c r="M8" s="105"/>
      <c r="N8" s="13" t="s">
        <v>42</v>
      </c>
      <c r="O8" s="121">
        <v>4</v>
      </c>
      <c r="P8" s="105"/>
      <c r="Q8" s="121">
        <v>1</v>
      </c>
      <c r="R8" s="105"/>
      <c r="S8" s="13" t="s">
        <v>43</v>
      </c>
      <c r="T8" s="121" t="s">
        <v>44</v>
      </c>
      <c r="U8" s="105"/>
      <c r="V8" s="121">
        <v>9</v>
      </c>
      <c r="W8" s="105"/>
      <c r="X8" s="13" t="s">
        <v>45</v>
      </c>
      <c r="Y8" s="121" t="s">
        <v>46</v>
      </c>
      <c r="Z8" s="105"/>
      <c r="AA8" s="13" t="s">
        <v>47</v>
      </c>
      <c r="AB8" s="13" t="s">
        <v>48</v>
      </c>
      <c r="AC8" s="13" t="s">
        <v>34</v>
      </c>
      <c r="AD8" s="13">
        <v>5</v>
      </c>
      <c r="AE8" s="13" t="s">
        <v>34</v>
      </c>
      <c r="AF8" s="24" t="s">
        <v>49</v>
      </c>
      <c r="AG8" s="14"/>
      <c r="AH8" s="115" t="s">
        <v>46</v>
      </c>
      <c r="AI8" s="105"/>
      <c r="AJ8" s="13" t="s">
        <v>50</v>
      </c>
      <c r="AK8" s="121">
        <v>1</v>
      </c>
      <c r="AL8" s="105"/>
      <c r="AM8" s="121" t="s">
        <v>51</v>
      </c>
      <c r="AN8" s="105"/>
      <c r="AO8" s="121">
        <v>3</v>
      </c>
      <c r="AP8" s="105"/>
      <c r="AQ8" s="121" t="s">
        <v>52</v>
      </c>
      <c r="AR8" s="105"/>
      <c r="AS8" s="13" t="s">
        <v>53</v>
      </c>
      <c r="AT8" s="121">
        <v>3</v>
      </c>
      <c r="AU8" s="105"/>
      <c r="AV8" s="121">
        <v>4</v>
      </c>
      <c r="AW8" s="105"/>
      <c r="AX8" s="121" t="s">
        <v>54</v>
      </c>
      <c r="AY8" s="105"/>
      <c r="AZ8" s="13" t="s">
        <v>55</v>
      </c>
      <c r="BA8" s="121">
        <v>7</v>
      </c>
      <c r="BB8" s="105"/>
      <c r="BC8" s="121" t="s">
        <v>56</v>
      </c>
      <c r="BD8" s="105"/>
      <c r="BE8" s="13" t="s">
        <v>57</v>
      </c>
      <c r="BF8" s="121">
        <v>9</v>
      </c>
      <c r="BG8" s="105"/>
      <c r="BH8" s="13" t="s">
        <v>58</v>
      </c>
      <c r="BI8" s="121">
        <v>6</v>
      </c>
      <c r="BJ8" s="105"/>
      <c r="BK8" s="121">
        <v>2</v>
      </c>
      <c r="BL8" s="105"/>
      <c r="BM8" s="13" t="s">
        <v>59</v>
      </c>
      <c r="BN8" s="13" t="s">
        <v>60</v>
      </c>
      <c r="BO8" s="13" t="s">
        <v>34</v>
      </c>
      <c r="BP8" s="13" t="s">
        <v>61</v>
      </c>
      <c r="BQ8" s="13" t="s">
        <v>34</v>
      </c>
      <c r="BR8" s="24" t="s">
        <v>62</v>
      </c>
      <c r="BS8" s="14"/>
      <c r="BT8" s="115">
        <v>2</v>
      </c>
      <c r="BU8" s="105"/>
      <c r="BV8" s="121" t="s">
        <v>63</v>
      </c>
      <c r="BW8" s="105"/>
      <c r="BX8" s="121" t="s">
        <v>64</v>
      </c>
      <c r="BY8" s="105"/>
      <c r="BZ8" s="13" t="s">
        <v>65</v>
      </c>
      <c r="CA8" s="121">
        <v>5</v>
      </c>
      <c r="CB8" s="105"/>
      <c r="CC8" s="121" t="s">
        <v>66</v>
      </c>
      <c r="CD8" s="105"/>
      <c r="CE8" s="13" t="s">
        <v>67</v>
      </c>
      <c r="CF8" s="13" t="s">
        <v>68</v>
      </c>
      <c r="CG8" s="13" t="s">
        <v>34</v>
      </c>
      <c r="CH8" s="13">
        <v>7</v>
      </c>
      <c r="CI8" s="13" t="s">
        <v>34</v>
      </c>
      <c r="CJ8" s="24" t="s">
        <v>69</v>
      </c>
      <c r="CK8" s="14"/>
      <c r="CL8" s="115">
        <v>5</v>
      </c>
      <c r="CM8" s="105"/>
      <c r="CN8" s="121" t="s">
        <v>70</v>
      </c>
      <c r="CO8" s="105"/>
      <c r="CP8" s="13" t="s">
        <v>71</v>
      </c>
      <c r="CQ8" s="121" t="s">
        <v>72</v>
      </c>
      <c r="CR8" s="105"/>
      <c r="CS8" s="13" t="s">
        <v>73</v>
      </c>
      <c r="CT8" s="13" t="s">
        <v>74</v>
      </c>
      <c r="CU8" s="13" t="s">
        <v>34</v>
      </c>
      <c r="CV8" s="13">
        <v>8</v>
      </c>
      <c r="CW8" s="13" t="s">
        <v>34</v>
      </c>
      <c r="CX8" s="24" t="s">
        <v>75</v>
      </c>
      <c r="CY8" s="14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</row>
    <row r="9" spans="1:117" s="3" customFormat="1" x14ac:dyDescent="0.3">
      <c r="A9" s="34">
        <v>3</v>
      </c>
      <c r="B9" s="20" t="s">
        <v>76</v>
      </c>
      <c r="C9" s="17" t="s">
        <v>77</v>
      </c>
      <c r="D9" s="112" t="s">
        <v>78</v>
      </c>
      <c r="E9" s="105"/>
      <c r="F9" s="11" t="s">
        <v>79</v>
      </c>
      <c r="G9" s="122">
        <v>9</v>
      </c>
      <c r="H9" s="105"/>
      <c r="I9" s="11" t="s">
        <v>39</v>
      </c>
      <c r="J9" s="122" t="s">
        <v>80</v>
      </c>
      <c r="K9" s="105"/>
      <c r="L9" s="122" t="s">
        <v>41</v>
      </c>
      <c r="M9" s="105"/>
      <c r="N9" s="11" t="s">
        <v>81</v>
      </c>
      <c r="O9" s="122">
        <v>4</v>
      </c>
      <c r="P9" s="105"/>
      <c r="Q9" s="122" t="s">
        <v>52</v>
      </c>
      <c r="R9" s="105"/>
      <c r="S9" s="11" t="s">
        <v>82</v>
      </c>
      <c r="T9" s="122" t="s">
        <v>83</v>
      </c>
      <c r="U9" s="105"/>
      <c r="V9" s="122">
        <v>9</v>
      </c>
      <c r="W9" s="105"/>
      <c r="X9" s="11" t="s">
        <v>84</v>
      </c>
      <c r="Y9" s="122">
        <v>10</v>
      </c>
      <c r="Z9" s="105"/>
      <c r="AA9" s="11" t="s">
        <v>85</v>
      </c>
      <c r="AB9" s="11" t="s">
        <v>86</v>
      </c>
      <c r="AC9" s="11" t="s">
        <v>34</v>
      </c>
      <c r="AD9" s="11" t="s">
        <v>34</v>
      </c>
      <c r="AE9" s="11" t="s">
        <v>34</v>
      </c>
      <c r="AF9" s="23" t="s">
        <v>86</v>
      </c>
      <c r="AG9" s="12"/>
      <c r="AH9" s="112">
        <v>10</v>
      </c>
      <c r="AI9" s="105"/>
      <c r="AJ9" s="11">
        <v>1</v>
      </c>
      <c r="AK9" s="122">
        <v>1</v>
      </c>
      <c r="AL9" s="105"/>
      <c r="AM9" s="122">
        <v>4</v>
      </c>
      <c r="AN9" s="105"/>
      <c r="AO9" s="122">
        <v>3</v>
      </c>
      <c r="AP9" s="105"/>
      <c r="AQ9" s="122" t="s">
        <v>52</v>
      </c>
      <c r="AR9" s="105"/>
      <c r="AS9" s="11" t="s">
        <v>87</v>
      </c>
      <c r="AT9" s="122">
        <v>3</v>
      </c>
      <c r="AU9" s="105"/>
      <c r="AV9" s="122">
        <v>4</v>
      </c>
      <c r="AW9" s="105"/>
      <c r="AX9" s="122">
        <v>2</v>
      </c>
      <c r="AY9" s="105"/>
      <c r="AZ9" s="11" t="s">
        <v>88</v>
      </c>
      <c r="BA9" s="122">
        <v>7</v>
      </c>
      <c r="BB9" s="105"/>
      <c r="BC9" s="122">
        <v>2</v>
      </c>
      <c r="BD9" s="105"/>
      <c r="BE9" s="11" t="s">
        <v>89</v>
      </c>
      <c r="BF9" s="122" t="s">
        <v>46</v>
      </c>
      <c r="BG9" s="105"/>
      <c r="BH9" s="11" t="s">
        <v>90</v>
      </c>
      <c r="BI9" s="122">
        <v>6</v>
      </c>
      <c r="BJ9" s="105"/>
      <c r="BK9" s="122" t="s">
        <v>38</v>
      </c>
      <c r="BL9" s="105"/>
      <c r="BM9" s="11" t="s">
        <v>91</v>
      </c>
      <c r="BN9" s="11" t="s">
        <v>92</v>
      </c>
      <c r="BO9" s="11" t="s">
        <v>34</v>
      </c>
      <c r="BP9" s="11" t="s">
        <v>34</v>
      </c>
      <c r="BQ9" s="11" t="s">
        <v>34</v>
      </c>
      <c r="BR9" s="23" t="s">
        <v>92</v>
      </c>
      <c r="BS9" s="12"/>
      <c r="BT9" s="112">
        <v>2</v>
      </c>
      <c r="BU9" s="105"/>
      <c r="BV9" s="122">
        <v>4</v>
      </c>
      <c r="BW9" s="105"/>
      <c r="BX9" s="122" t="s">
        <v>64</v>
      </c>
      <c r="BY9" s="105"/>
      <c r="BZ9" s="11" t="s">
        <v>93</v>
      </c>
      <c r="CA9" s="122">
        <v>5</v>
      </c>
      <c r="CB9" s="105"/>
      <c r="CC9" s="122">
        <v>5</v>
      </c>
      <c r="CD9" s="105"/>
      <c r="CE9" s="11">
        <v>4</v>
      </c>
      <c r="CF9" s="11" t="s">
        <v>94</v>
      </c>
      <c r="CG9" s="11" t="s">
        <v>34</v>
      </c>
      <c r="CH9" s="11" t="s">
        <v>34</v>
      </c>
      <c r="CI9" s="11" t="s">
        <v>34</v>
      </c>
      <c r="CJ9" s="23" t="s">
        <v>94</v>
      </c>
      <c r="CK9" s="12"/>
      <c r="CL9" s="112">
        <v>6</v>
      </c>
      <c r="CM9" s="105"/>
      <c r="CN9" s="122" t="s">
        <v>57</v>
      </c>
      <c r="CO9" s="105"/>
      <c r="CP9" s="11" t="s">
        <v>95</v>
      </c>
      <c r="CQ9" s="122">
        <v>3</v>
      </c>
      <c r="CR9" s="105"/>
      <c r="CS9" s="11" t="s">
        <v>54</v>
      </c>
      <c r="CT9" s="11" t="s">
        <v>96</v>
      </c>
      <c r="CU9" s="11" t="s">
        <v>34</v>
      </c>
      <c r="CV9" s="11" t="s">
        <v>34</v>
      </c>
      <c r="CW9" s="11" t="s">
        <v>34</v>
      </c>
      <c r="CX9" s="23" t="s">
        <v>96</v>
      </c>
      <c r="CY9" s="12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</row>
    <row r="10" spans="1:117" s="3" customFormat="1" x14ac:dyDescent="0.3">
      <c r="A10" s="34">
        <v>4</v>
      </c>
      <c r="B10" s="21" t="s">
        <v>97</v>
      </c>
      <c r="C10" s="18" t="s">
        <v>98</v>
      </c>
      <c r="D10" s="115" t="s">
        <v>61</v>
      </c>
      <c r="E10" s="105"/>
      <c r="F10" s="13" t="s">
        <v>83</v>
      </c>
      <c r="G10" s="121" t="s">
        <v>41</v>
      </c>
      <c r="H10" s="105"/>
      <c r="I10" s="13" t="s">
        <v>99</v>
      </c>
      <c r="J10" s="121" t="s">
        <v>100</v>
      </c>
      <c r="K10" s="105"/>
      <c r="L10" s="121" t="s">
        <v>101</v>
      </c>
      <c r="M10" s="105"/>
      <c r="N10" s="13" t="s">
        <v>102</v>
      </c>
      <c r="O10" s="121" t="s">
        <v>101</v>
      </c>
      <c r="P10" s="105"/>
      <c r="Q10" s="121" t="s">
        <v>103</v>
      </c>
      <c r="R10" s="105"/>
      <c r="S10" s="13" t="s">
        <v>104</v>
      </c>
      <c r="T10" s="121" t="s">
        <v>83</v>
      </c>
      <c r="U10" s="105"/>
      <c r="V10" s="121">
        <v>9</v>
      </c>
      <c r="W10" s="105"/>
      <c r="X10" s="13" t="s">
        <v>84</v>
      </c>
      <c r="Y10" s="121">
        <v>8</v>
      </c>
      <c r="Z10" s="105"/>
      <c r="AA10" s="13">
        <v>2</v>
      </c>
      <c r="AB10" s="13" t="s">
        <v>105</v>
      </c>
      <c r="AC10" s="13" t="s">
        <v>34</v>
      </c>
      <c r="AD10" s="13" t="s">
        <v>61</v>
      </c>
      <c r="AE10" s="13" t="s">
        <v>34</v>
      </c>
      <c r="AF10" s="24" t="s">
        <v>106</v>
      </c>
      <c r="AG10" s="14"/>
      <c r="AH10" s="115">
        <v>7</v>
      </c>
      <c r="AI10" s="105"/>
      <c r="AJ10" s="13" t="s">
        <v>44</v>
      </c>
      <c r="AK10" s="121">
        <v>1</v>
      </c>
      <c r="AL10" s="105"/>
      <c r="AM10" s="121" t="s">
        <v>63</v>
      </c>
      <c r="AN10" s="105"/>
      <c r="AO10" s="121">
        <v>3</v>
      </c>
      <c r="AP10" s="105"/>
      <c r="AQ10" s="121" t="s">
        <v>103</v>
      </c>
      <c r="AR10" s="105"/>
      <c r="AS10" s="13" t="s">
        <v>107</v>
      </c>
      <c r="AT10" s="121">
        <v>2</v>
      </c>
      <c r="AU10" s="105"/>
      <c r="AV10" s="121" t="s">
        <v>54</v>
      </c>
      <c r="AW10" s="105"/>
      <c r="AX10" s="121" t="s">
        <v>43</v>
      </c>
      <c r="AY10" s="105"/>
      <c r="AZ10" s="13" t="s">
        <v>108</v>
      </c>
      <c r="BA10" s="121" t="s">
        <v>109</v>
      </c>
      <c r="BB10" s="105"/>
      <c r="BC10" s="128">
        <v>0</v>
      </c>
      <c r="BD10" s="105"/>
      <c r="BE10" s="13" t="s">
        <v>110</v>
      </c>
      <c r="BF10" s="121" t="s">
        <v>41</v>
      </c>
      <c r="BG10" s="105"/>
      <c r="BH10" s="13" t="s">
        <v>111</v>
      </c>
      <c r="BI10" s="121" t="s">
        <v>101</v>
      </c>
      <c r="BJ10" s="105"/>
      <c r="BK10" s="121" t="s">
        <v>59</v>
      </c>
      <c r="BL10" s="105"/>
      <c r="BM10" s="13" t="s">
        <v>112</v>
      </c>
      <c r="BN10" s="13" t="s">
        <v>113</v>
      </c>
      <c r="BO10" s="13" t="s">
        <v>34</v>
      </c>
      <c r="BP10" s="13">
        <v>8</v>
      </c>
      <c r="BQ10" s="13" t="s">
        <v>34</v>
      </c>
      <c r="BR10" s="24" t="s">
        <v>114</v>
      </c>
      <c r="BS10" s="14"/>
      <c r="BT10" s="115">
        <v>2</v>
      </c>
      <c r="BU10" s="105"/>
      <c r="BV10" s="121">
        <v>4</v>
      </c>
      <c r="BW10" s="105"/>
      <c r="BX10" s="121" t="s">
        <v>89</v>
      </c>
      <c r="BY10" s="105"/>
      <c r="BZ10" s="13" t="s">
        <v>115</v>
      </c>
      <c r="CA10" s="121">
        <v>5</v>
      </c>
      <c r="CB10" s="105"/>
      <c r="CC10" s="121" t="s">
        <v>116</v>
      </c>
      <c r="CD10" s="105"/>
      <c r="CE10" s="13" t="s">
        <v>117</v>
      </c>
      <c r="CF10" s="13" t="s">
        <v>118</v>
      </c>
      <c r="CG10" s="13" t="s">
        <v>34</v>
      </c>
      <c r="CH10" s="13">
        <v>8</v>
      </c>
      <c r="CI10" s="13" t="s">
        <v>34</v>
      </c>
      <c r="CJ10" s="24" t="s">
        <v>119</v>
      </c>
      <c r="CK10" s="14"/>
      <c r="CL10" s="115">
        <v>3</v>
      </c>
      <c r="CM10" s="105"/>
      <c r="CN10" s="121" t="s">
        <v>70</v>
      </c>
      <c r="CO10" s="105"/>
      <c r="CP10" s="13" t="s">
        <v>120</v>
      </c>
      <c r="CQ10" s="121" t="s">
        <v>121</v>
      </c>
      <c r="CR10" s="105"/>
      <c r="CS10" s="13" t="s">
        <v>88</v>
      </c>
      <c r="CT10" s="13" t="s">
        <v>122</v>
      </c>
      <c r="CU10" s="13" t="s">
        <v>34</v>
      </c>
      <c r="CV10" s="13" t="s">
        <v>41</v>
      </c>
      <c r="CW10" s="13" t="s">
        <v>34</v>
      </c>
      <c r="CX10" s="24" t="s">
        <v>123</v>
      </c>
      <c r="CY10" s="14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</row>
    <row r="11" spans="1:117" s="3" customFormat="1" x14ac:dyDescent="0.3">
      <c r="A11" s="34">
        <v>5</v>
      </c>
      <c r="B11" s="20" t="s">
        <v>124</v>
      </c>
      <c r="C11" s="17" t="s">
        <v>125</v>
      </c>
      <c r="D11" s="112">
        <v>10</v>
      </c>
      <c r="E11" s="105"/>
      <c r="F11" s="11" t="s">
        <v>38</v>
      </c>
      <c r="G11" s="122" t="s">
        <v>78</v>
      </c>
      <c r="H11" s="105"/>
      <c r="I11" s="11" t="s">
        <v>126</v>
      </c>
      <c r="J11" s="122">
        <v>3</v>
      </c>
      <c r="K11" s="105"/>
      <c r="L11" s="122">
        <v>7</v>
      </c>
      <c r="M11" s="105"/>
      <c r="N11" s="11" t="s">
        <v>54</v>
      </c>
      <c r="O11" s="122">
        <v>3</v>
      </c>
      <c r="P11" s="105"/>
      <c r="Q11" s="122" t="s">
        <v>83</v>
      </c>
      <c r="R11" s="105"/>
      <c r="S11" s="11" t="s">
        <v>127</v>
      </c>
      <c r="T11" s="122" t="s">
        <v>52</v>
      </c>
      <c r="U11" s="105"/>
      <c r="V11" s="122">
        <v>9</v>
      </c>
      <c r="W11" s="105"/>
      <c r="X11" s="11" t="s">
        <v>128</v>
      </c>
      <c r="Y11" s="122" t="s">
        <v>46</v>
      </c>
      <c r="Z11" s="105"/>
      <c r="AA11" s="11" t="s">
        <v>47</v>
      </c>
      <c r="AB11" s="11" t="s">
        <v>129</v>
      </c>
      <c r="AC11" s="11" t="s">
        <v>34</v>
      </c>
      <c r="AD11" s="11" t="s">
        <v>78</v>
      </c>
      <c r="AE11" s="11" t="s">
        <v>34</v>
      </c>
      <c r="AF11" s="23" t="s">
        <v>130</v>
      </c>
      <c r="AG11" s="12"/>
      <c r="AH11" s="112">
        <v>10</v>
      </c>
      <c r="AI11" s="105"/>
      <c r="AJ11" s="11">
        <v>1</v>
      </c>
      <c r="AK11" s="122">
        <v>1</v>
      </c>
      <c r="AL11" s="105"/>
      <c r="AM11" s="122" t="s">
        <v>131</v>
      </c>
      <c r="AN11" s="105"/>
      <c r="AO11" s="122">
        <v>3</v>
      </c>
      <c r="AP11" s="105"/>
      <c r="AQ11" s="122" t="s">
        <v>83</v>
      </c>
      <c r="AR11" s="105"/>
      <c r="AS11" s="11" t="s">
        <v>132</v>
      </c>
      <c r="AT11" s="122">
        <v>3</v>
      </c>
      <c r="AU11" s="105"/>
      <c r="AV11" s="122">
        <v>4</v>
      </c>
      <c r="AW11" s="105"/>
      <c r="AX11" s="122" t="s">
        <v>85</v>
      </c>
      <c r="AY11" s="105"/>
      <c r="AZ11" s="11" t="s">
        <v>47</v>
      </c>
      <c r="BA11" s="122">
        <v>7</v>
      </c>
      <c r="BB11" s="105"/>
      <c r="BC11" s="122" t="s">
        <v>133</v>
      </c>
      <c r="BD11" s="105"/>
      <c r="BE11" s="11" t="s">
        <v>134</v>
      </c>
      <c r="BF11" s="122">
        <v>8</v>
      </c>
      <c r="BG11" s="105"/>
      <c r="BH11" s="11" t="s">
        <v>59</v>
      </c>
      <c r="BI11" s="122" t="s">
        <v>135</v>
      </c>
      <c r="BJ11" s="105"/>
      <c r="BK11" s="122" t="s">
        <v>80</v>
      </c>
      <c r="BL11" s="105"/>
      <c r="BM11" s="11" t="s">
        <v>136</v>
      </c>
      <c r="BN11" s="11" t="s">
        <v>137</v>
      </c>
      <c r="BO11" s="11" t="s">
        <v>34</v>
      </c>
      <c r="BP11" s="11">
        <v>10</v>
      </c>
      <c r="BQ11" s="11" t="s">
        <v>34</v>
      </c>
      <c r="BR11" s="23" t="s">
        <v>138</v>
      </c>
      <c r="BS11" s="12"/>
      <c r="BT11" s="112">
        <v>2</v>
      </c>
      <c r="BU11" s="105"/>
      <c r="BV11" s="122">
        <v>4</v>
      </c>
      <c r="BW11" s="105"/>
      <c r="BX11" s="122">
        <v>4</v>
      </c>
      <c r="BY11" s="105"/>
      <c r="BZ11" s="11">
        <v>6</v>
      </c>
      <c r="CA11" s="122">
        <v>5</v>
      </c>
      <c r="CB11" s="105"/>
      <c r="CC11" s="122">
        <v>5</v>
      </c>
      <c r="CD11" s="105"/>
      <c r="CE11" s="11">
        <v>4</v>
      </c>
      <c r="CF11" s="11">
        <v>7</v>
      </c>
      <c r="CG11" s="11" t="s">
        <v>34</v>
      </c>
      <c r="CH11" s="11">
        <v>10</v>
      </c>
      <c r="CI11" s="11" t="s">
        <v>34</v>
      </c>
      <c r="CJ11" s="23">
        <v>10</v>
      </c>
      <c r="CK11" s="12"/>
      <c r="CL11" s="112">
        <v>6</v>
      </c>
      <c r="CM11" s="105"/>
      <c r="CN11" s="122" t="s">
        <v>139</v>
      </c>
      <c r="CO11" s="105"/>
      <c r="CP11" s="11" t="s">
        <v>140</v>
      </c>
      <c r="CQ11" s="122">
        <v>5</v>
      </c>
      <c r="CR11" s="105"/>
      <c r="CS11" s="11" t="s">
        <v>85</v>
      </c>
      <c r="CT11" s="11" t="s">
        <v>141</v>
      </c>
      <c r="CU11" s="11" t="s">
        <v>34</v>
      </c>
      <c r="CV11" s="11">
        <v>10</v>
      </c>
      <c r="CW11" s="11" t="s">
        <v>34</v>
      </c>
      <c r="CX11" s="23" t="s">
        <v>142</v>
      </c>
      <c r="CY11" s="12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</row>
    <row r="12" spans="1:117" s="3" customFormat="1" x14ac:dyDescent="0.3">
      <c r="A12" s="34">
        <v>6</v>
      </c>
      <c r="B12" s="21" t="s">
        <v>143</v>
      </c>
      <c r="C12" s="18" t="s">
        <v>144</v>
      </c>
      <c r="D12" s="115">
        <v>10</v>
      </c>
      <c r="E12" s="105"/>
      <c r="F12" s="13" t="s">
        <v>38</v>
      </c>
      <c r="G12" s="121" t="s">
        <v>61</v>
      </c>
      <c r="H12" s="105"/>
      <c r="I12" s="13" t="s">
        <v>145</v>
      </c>
      <c r="J12" s="121" t="s">
        <v>40</v>
      </c>
      <c r="K12" s="105"/>
      <c r="L12" s="121" t="s">
        <v>41</v>
      </c>
      <c r="M12" s="105"/>
      <c r="N12" s="13" t="s">
        <v>42</v>
      </c>
      <c r="O12" s="121">
        <v>8</v>
      </c>
      <c r="P12" s="105"/>
      <c r="Q12" s="121">
        <v>1</v>
      </c>
      <c r="R12" s="105"/>
      <c r="S12" s="13" t="s">
        <v>146</v>
      </c>
      <c r="T12" s="121">
        <v>1</v>
      </c>
      <c r="U12" s="105"/>
      <c r="V12" s="121">
        <v>9</v>
      </c>
      <c r="W12" s="105"/>
      <c r="X12" s="13">
        <v>2</v>
      </c>
      <c r="Y12" s="121">
        <v>10</v>
      </c>
      <c r="Z12" s="105"/>
      <c r="AA12" s="13" t="s">
        <v>85</v>
      </c>
      <c r="AB12" s="13" t="s">
        <v>137</v>
      </c>
      <c r="AC12" s="13" t="s">
        <v>34</v>
      </c>
      <c r="AD12" s="13">
        <v>10</v>
      </c>
      <c r="AE12" s="13" t="s">
        <v>34</v>
      </c>
      <c r="AF12" s="24" t="s">
        <v>138</v>
      </c>
      <c r="AG12" s="14"/>
      <c r="AH12" s="115">
        <v>10</v>
      </c>
      <c r="AI12" s="105"/>
      <c r="AJ12" s="13">
        <v>1</v>
      </c>
      <c r="AK12" s="121">
        <v>1</v>
      </c>
      <c r="AL12" s="105"/>
      <c r="AM12" s="121" t="s">
        <v>147</v>
      </c>
      <c r="AN12" s="105"/>
      <c r="AO12" s="121" t="s">
        <v>80</v>
      </c>
      <c r="AP12" s="105"/>
      <c r="AQ12" s="121" t="s">
        <v>83</v>
      </c>
      <c r="AR12" s="105"/>
      <c r="AS12" s="13" t="s">
        <v>148</v>
      </c>
      <c r="AT12" s="121">
        <v>3</v>
      </c>
      <c r="AU12" s="105"/>
      <c r="AV12" s="121" t="s">
        <v>149</v>
      </c>
      <c r="AW12" s="105"/>
      <c r="AX12" s="121" t="s">
        <v>85</v>
      </c>
      <c r="AY12" s="105"/>
      <c r="AZ12" s="13" t="s">
        <v>150</v>
      </c>
      <c r="BA12" s="121">
        <v>7</v>
      </c>
      <c r="BB12" s="105"/>
      <c r="BC12" s="121" t="s">
        <v>56</v>
      </c>
      <c r="BD12" s="105"/>
      <c r="BE12" s="13" t="s">
        <v>57</v>
      </c>
      <c r="BF12" s="121">
        <v>6</v>
      </c>
      <c r="BG12" s="105"/>
      <c r="BH12" s="13" t="s">
        <v>112</v>
      </c>
      <c r="BI12" s="121">
        <v>6</v>
      </c>
      <c r="BJ12" s="105"/>
      <c r="BK12" s="121" t="s">
        <v>151</v>
      </c>
      <c r="BL12" s="105"/>
      <c r="BM12" s="13" t="s">
        <v>152</v>
      </c>
      <c r="BN12" s="13" t="s">
        <v>153</v>
      </c>
      <c r="BO12" s="13" t="s">
        <v>34</v>
      </c>
      <c r="BP12" s="13">
        <v>10</v>
      </c>
      <c r="BQ12" s="13" t="s">
        <v>34</v>
      </c>
      <c r="BR12" s="24" t="s">
        <v>154</v>
      </c>
      <c r="BS12" s="14"/>
      <c r="BT12" s="115">
        <v>2</v>
      </c>
      <c r="BU12" s="105"/>
      <c r="BV12" s="121">
        <v>4</v>
      </c>
      <c r="BW12" s="105"/>
      <c r="BX12" s="121">
        <v>4</v>
      </c>
      <c r="BY12" s="105"/>
      <c r="BZ12" s="13">
        <v>6</v>
      </c>
      <c r="CA12" s="121" t="s">
        <v>155</v>
      </c>
      <c r="CB12" s="105"/>
      <c r="CC12" s="121">
        <v>5</v>
      </c>
      <c r="CD12" s="105"/>
      <c r="CE12" s="13" t="s">
        <v>156</v>
      </c>
      <c r="CF12" s="13" t="s">
        <v>157</v>
      </c>
      <c r="CG12" s="13" t="s">
        <v>34</v>
      </c>
      <c r="CH12" s="13">
        <v>10</v>
      </c>
      <c r="CI12" s="13" t="s">
        <v>34</v>
      </c>
      <c r="CJ12" s="24" t="s">
        <v>158</v>
      </c>
      <c r="CK12" s="14"/>
      <c r="CL12" s="115">
        <v>7</v>
      </c>
      <c r="CM12" s="105"/>
      <c r="CN12" s="121">
        <v>3</v>
      </c>
      <c r="CO12" s="105"/>
      <c r="CP12" s="13">
        <v>5</v>
      </c>
      <c r="CQ12" s="121" t="s">
        <v>159</v>
      </c>
      <c r="CR12" s="105"/>
      <c r="CS12" s="13" t="s">
        <v>160</v>
      </c>
      <c r="CT12" s="13" t="s">
        <v>161</v>
      </c>
      <c r="CU12" s="13" t="s">
        <v>34</v>
      </c>
      <c r="CV12" s="13">
        <v>10</v>
      </c>
      <c r="CW12" s="13" t="s">
        <v>34</v>
      </c>
      <c r="CX12" s="24" t="s">
        <v>162</v>
      </c>
      <c r="CY12" s="14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</row>
    <row r="13" spans="1:117" s="3" customFormat="1" x14ac:dyDescent="0.3">
      <c r="A13" s="34">
        <v>7</v>
      </c>
      <c r="B13" s="20" t="s">
        <v>163</v>
      </c>
      <c r="C13" s="17" t="s">
        <v>164</v>
      </c>
      <c r="D13" s="112">
        <v>10</v>
      </c>
      <c r="E13" s="105"/>
      <c r="F13" s="11" t="s">
        <v>38</v>
      </c>
      <c r="G13" s="122" t="s">
        <v>61</v>
      </c>
      <c r="H13" s="105"/>
      <c r="I13" s="11" t="s">
        <v>145</v>
      </c>
      <c r="J13" s="122" t="s">
        <v>40</v>
      </c>
      <c r="K13" s="105"/>
      <c r="L13" s="122" t="s">
        <v>101</v>
      </c>
      <c r="M13" s="105"/>
      <c r="N13" s="11" t="s">
        <v>165</v>
      </c>
      <c r="O13" s="122">
        <v>6</v>
      </c>
      <c r="P13" s="105"/>
      <c r="Q13" s="122" t="s">
        <v>44</v>
      </c>
      <c r="R13" s="105"/>
      <c r="S13" s="11" t="s">
        <v>166</v>
      </c>
      <c r="T13" s="122" t="s">
        <v>44</v>
      </c>
      <c r="U13" s="105"/>
      <c r="V13" s="122">
        <v>8</v>
      </c>
      <c r="W13" s="105"/>
      <c r="X13" s="11" t="s">
        <v>167</v>
      </c>
      <c r="Y13" s="122">
        <v>10</v>
      </c>
      <c r="Z13" s="105"/>
      <c r="AA13" s="11" t="s">
        <v>85</v>
      </c>
      <c r="AB13" s="11" t="s">
        <v>153</v>
      </c>
      <c r="AC13" s="11" t="s">
        <v>34</v>
      </c>
      <c r="AD13" s="11" t="s">
        <v>78</v>
      </c>
      <c r="AE13" s="11" t="s">
        <v>34</v>
      </c>
      <c r="AF13" s="23" t="s">
        <v>168</v>
      </c>
      <c r="AG13" s="12"/>
      <c r="AH13" s="112" t="s">
        <v>61</v>
      </c>
      <c r="AI13" s="105"/>
      <c r="AJ13" s="11" t="s">
        <v>43</v>
      </c>
      <c r="AK13" s="122">
        <v>1</v>
      </c>
      <c r="AL13" s="105"/>
      <c r="AM13" s="122" t="s">
        <v>155</v>
      </c>
      <c r="AN13" s="105"/>
      <c r="AO13" s="122">
        <v>3</v>
      </c>
      <c r="AP13" s="105"/>
      <c r="AQ13" s="122" t="s">
        <v>52</v>
      </c>
      <c r="AR13" s="105"/>
      <c r="AS13" s="11" t="s">
        <v>116</v>
      </c>
      <c r="AT13" s="122">
        <v>2</v>
      </c>
      <c r="AU13" s="105"/>
      <c r="AV13" s="122">
        <v>2</v>
      </c>
      <c r="AW13" s="105"/>
      <c r="AX13" s="122" t="s">
        <v>88</v>
      </c>
      <c r="AY13" s="105"/>
      <c r="AZ13" s="11" t="s">
        <v>169</v>
      </c>
      <c r="BA13" s="122">
        <v>7</v>
      </c>
      <c r="BB13" s="105"/>
      <c r="BC13" s="122">
        <v>2</v>
      </c>
      <c r="BD13" s="105"/>
      <c r="BE13" s="11" t="s">
        <v>89</v>
      </c>
      <c r="BF13" s="122">
        <v>7</v>
      </c>
      <c r="BG13" s="105"/>
      <c r="BH13" s="11" t="s">
        <v>170</v>
      </c>
      <c r="BI13" s="122">
        <v>6</v>
      </c>
      <c r="BJ13" s="105"/>
      <c r="BK13" s="122" t="s">
        <v>38</v>
      </c>
      <c r="BL13" s="105"/>
      <c r="BM13" s="11" t="s">
        <v>91</v>
      </c>
      <c r="BN13" s="11" t="s">
        <v>171</v>
      </c>
      <c r="BO13" s="11" t="s">
        <v>34</v>
      </c>
      <c r="BP13" s="11">
        <v>8</v>
      </c>
      <c r="BQ13" s="11" t="s">
        <v>34</v>
      </c>
      <c r="BR13" s="23" t="s">
        <v>172</v>
      </c>
      <c r="BS13" s="12"/>
      <c r="BT13" s="112">
        <v>2</v>
      </c>
      <c r="BU13" s="105"/>
      <c r="BV13" s="122" t="s">
        <v>173</v>
      </c>
      <c r="BW13" s="105"/>
      <c r="BX13" s="122" t="s">
        <v>64</v>
      </c>
      <c r="BY13" s="105"/>
      <c r="BZ13" s="11" t="s">
        <v>174</v>
      </c>
      <c r="CA13" s="122">
        <v>5</v>
      </c>
      <c r="CB13" s="105"/>
      <c r="CC13" s="122" t="s">
        <v>121</v>
      </c>
      <c r="CD13" s="105"/>
      <c r="CE13" s="11" t="s">
        <v>64</v>
      </c>
      <c r="CF13" s="11" t="s">
        <v>109</v>
      </c>
      <c r="CG13" s="11" t="s">
        <v>34</v>
      </c>
      <c r="CH13" s="11">
        <v>7</v>
      </c>
      <c r="CI13" s="11" t="s">
        <v>34</v>
      </c>
      <c r="CJ13" s="23" t="s">
        <v>175</v>
      </c>
      <c r="CK13" s="12"/>
      <c r="CL13" s="112">
        <v>4</v>
      </c>
      <c r="CM13" s="105"/>
      <c r="CN13" s="122" t="s">
        <v>120</v>
      </c>
      <c r="CO13" s="105"/>
      <c r="CP13" s="11" t="s">
        <v>176</v>
      </c>
      <c r="CQ13" s="122" t="s">
        <v>177</v>
      </c>
      <c r="CR13" s="105"/>
      <c r="CS13" s="11" t="s">
        <v>178</v>
      </c>
      <c r="CT13" s="11" t="s">
        <v>179</v>
      </c>
      <c r="CU13" s="11" t="s">
        <v>34</v>
      </c>
      <c r="CV13" s="11">
        <v>8</v>
      </c>
      <c r="CW13" s="11" t="s">
        <v>34</v>
      </c>
      <c r="CX13" s="23" t="s">
        <v>180</v>
      </c>
      <c r="CY13" s="12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</row>
    <row r="14" spans="1:117" s="3" customFormat="1" x14ac:dyDescent="0.3">
      <c r="A14" s="34">
        <v>8</v>
      </c>
      <c r="B14" s="21" t="s">
        <v>181</v>
      </c>
      <c r="C14" s="18" t="s">
        <v>182</v>
      </c>
      <c r="D14" s="115" t="s">
        <v>78</v>
      </c>
      <c r="E14" s="105"/>
      <c r="F14" s="13" t="s">
        <v>79</v>
      </c>
      <c r="G14" s="121">
        <v>6</v>
      </c>
      <c r="H14" s="105"/>
      <c r="I14" s="13" t="s">
        <v>183</v>
      </c>
      <c r="J14" s="121" t="s">
        <v>100</v>
      </c>
      <c r="K14" s="105"/>
      <c r="L14" s="121" t="s">
        <v>121</v>
      </c>
      <c r="M14" s="105"/>
      <c r="N14" s="13" t="s">
        <v>184</v>
      </c>
      <c r="O14" s="121" t="s">
        <v>101</v>
      </c>
      <c r="P14" s="105"/>
      <c r="Q14" s="121" t="s">
        <v>44</v>
      </c>
      <c r="R14" s="105"/>
      <c r="S14" s="13" t="s">
        <v>185</v>
      </c>
      <c r="T14" s="121" t="s">
        <v>52</v>
      </c>
      <c r="U14" s="105"/>
      <c r="V14" s="121">
        <v>9</v>
      </c>
      <c r="W14" s="105"/>
      <c r="X14" s="13" t="s">
        <v>128</v>
      </c>
      <c r="Y14" s="121" t="s">
        <v>46</v>
      </c>
      <c r="Z14" s="105"/>
      <c r="AA14" s="13" t="s">
        <v>47</v>
      </c>
      <c r="AB14" s="13" t="s">
        <v>186</v>
      </c>
      <c r="AC14" s="13" t="s">
        <v>34</v>
      </c>
      <c r="AD14" s="13">
        <v>8</v>
      </c>
      <c r="AE14" s="13" t="s">
        <v>34</v>
      </c>
      <c r="AF14" s="24" t="s">
        <v>187</v>
      </c>
      <c r="AG14" s="14"/>
      <c r="AH14" s="115">
        <v>8</v>
      </c>
      <c r="AI14" s="105"/>
      <c r="AJ14" s="13" t="s">
        <v>52</v>
      </c>
      <c r="AK14" s="128">
        <v>0</v>
      </c>
      <c r="AL14" s="105"/>
      <c r="AM14" s="121" t="s">
        <v>63</v>
      </c>
      <c r="AN14" s="105"/>
      <c r="AO14" s="121">
        <v>3</v>
      </c>
      <c r="AP14" s="105"/>
      <c r="AQ14" s="121" t="s">
        <v>52</v>
      </c>
      <c r="AR14" s="105"/>
      <c r="AS14" s="13" t="s">
        <v>188</v>
      </c>
      <c r="AT14" s="121">
        <v>1</v>
      </c>
      <c r="AU14" s="105"/>
      <c r="AV14" s="121" t="s">
        <v>88</v>
      </c>
      <c r="AW14" s="105"/>
      <c r="AX14" s="121" t="s">
        <v>88</v>
      </c>
      <c r="AY14" s="105"/>
      <c r="AZ14" s="13" t="s">
        <v>42</v>
      </c>
      <c r="BA14" s="121" t="s">
        <v>63</v>
      </c>
      <c r="BB14" s="105"/>
      <c r="BC14" s="121" t="s">
        <v>189</v>
      </c>
      <c r="BD14" s="105"/>
      <c r="BE14" s="13" t="s">
        <v>190</v>
      </c>
      <c r="BF14" s="121">
        <v>8</v>
      </c>
      <c r="BG14" s="105"/>
      <c r="BH14" s="13" t="s">
        <v>59</v>
      </c>
      <c r="BI14" s="121">
        <v>5</v>
      </c>
      <c r="BJ14" s="105"/>
      <c r="BK14" s="121" t="s">
        <v>191</v>
      </c>
      <c r="BL14" s="105"/>
      <c r="BM14" s="13" t="s">
        <v>111</v>
      </c>
      <c r="BN14" s="13" t="s">
        <v>192</v>
      </c>
      <c r="BO14" s="13" t="s">
        <v>34</v>
      </c>
      <c r="BP14" s="13">
        <v>7</v>
      </c>
      <c r="BQ14" s="13" t="s">
        <v>34</v>
      </c>
      <c r="BR14" s="24" t="s">
        <v>193</v>
      </c>
      <c r="BS14" s="14"/>
      <c r="BT14" s="115">
        <v>2</v>
      </c>
      <c r="BU14" s="105"/>
      <c r="BV14" s="121">
        <v>4</v>
      </c>
      <c r="BW14" s="105"/>
      <c r="BX14" s="121" t="s">
        <v>194</v>
      </c>
      <c r="BY14" s="105"/>
      <c r="BZ14" s="13" t="s">
        <v>186</v>
      </c>
      <c r="CA14" s="121">
        <v>5</v>
      </c>
      <c r="CB14" s="105"/>
      <c r="CC14" s="121" t="s">
        <v>195</v>
      </c>
      <c r="CD14" s="105"/>
      <c r="CE14" s="13" t="s">
        <v>196</v>
      </c>
      <c r="CF14" s="13" t="s">
        <v>197</v>
      </c>
      <c r="CG14" s="13" t="s">
        <v>34</v>
      </c>
      <c r="CH14" s="13" t="s">
        <v>46</v>
      </c>
      <c r="CI14" s="13" t="s">
        <v>34</v>
      </c>
      <c r="CJ14" s="24" t="s">
        <v>198</v>
      </c>
      <c r="CK14" s="14"/>
      <c r="CL14" s="115">
        <v>5</v>
      </c>
      <c r="CM14" s="105"/>
      <c r="CN14" s="121" t="s">
        <v>70</v>
      </c>
      <c r="CO14" s="105"/>
      <c r="CP14" s="13" t="s">
        <v>71</v>
      </c>
      <c r="CQ14" s="121" t="s">
        <v>199</v>
      </c>
      <c r="CR14" s="105"/>
      <c r="CS14" s="13" t="s">
        <v>200</v>
      </c>
      <c r="CT14" s="13" t="s">
        <v>201</v>
      </c>
      <c r="CU14" s="13" t="s">
        <v>34</v>
      </c>
      <c r="CV14" s="13">
        <v>6</v>
      </c>
      <c r="CW14" s="13" t="s">
        <v>34</v>
      </c>
      <c r="CX14" s="24" t="s">
        <v>202</v>
      </c>
      <c r="CY14" s="14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</row>
    <row r="15" spans="1:117" s="3" customFormat="1" x14ac:dyDescent="0.3">
      <c r="A15" s="34">
        <v>9</v>
      </c>
      <c r="B15" s="20" t="s">
        <v>203</v>
      </c>
      <c r="C15" s="17" t="s">
        <v>204</v>
      </c>
      <c r="D15" s="112">
        <v>10</v>
      </c>
      <c r="E15" s="105"/>
      <c r="F15" s="11" t="s">
        <v>38</v>
      </c>
      <c r="G15" s="122" t="s">
        <v>46</v>
      </c>
      <c r="H15" s="105"/>
      <c r="I15" s="11" t="s">
        <v>205</v>
      </c>
      <c r="J15" s="122" t="s">
        <v>100</v>
      </c>
      <c r="K15" s="105"/>
      <c r="L15" s="122">
        <v>7</v>
      </c>
      <c r="M15" s="105"/>
      <c r="N15" s="11" t="s">
        <v>206</v>
      </c>
      <c r="O15" s="122">
        <v>8</v>
      </c>
      <c r="P15" s="105"/>
      <c r="Q15" s="122" t="s">
        <v>83</v>
      </c>
      <c r="R15" s="105"/>
      <c r="S15" s="11" t="s">
        <v>81</v>
      </c>
      <c r="T15" s="122" t="s">
        <v>52</v>
      </c>
      <c r="U15" s="105"/>
      <c r="V15" s="122">
        <v>9</v>
      </c>
      <c r="W15" s="105"/>
      <c r="X15" s="11" t="s">
        <v>128</v>
      </c>
      <c r="Y15" s="122">
        <v>10</v>
      </c>
      <c r="Z15" s="105"/>
      <c r="AA15" s="11" t="s">
        <v>85</v>
      </c>
      <c r="AB15" s="11" t="s">
        <v>207</v>
      </c>
      <c r="AC15" s="11" t="s">
        <v>34</v>
      </c>
      <c r="AD15" s="11">
        <v>8</v>
      </c>
      <c r="AE15" s="11" t="s">
        <v>34</v>
      </c>
      <c r="AF15" s="23" t="s">
        <v>208</v>
      </c>
      <c r="AG15" s="12"/>
      <c r="AH15" s="112" t="s">
        <v>78</v>
      </c>
      <c r="AI15" s="105"/>
      <c r="AJ15" s="11" t="s">
        <v>99</v>
      </c>
      <c r="AK15" s="122">
        <v>1</v>
      </c>
      <c r="AL15" s="105"/>
      <c r="AM15" s="122" t="s">
        <v>110</v>
      </c>
      <c r="AN15" s="105"/>
      <c r="AO15" s="122" t="s">
        <v>209</v>
      </c>
      <c r="AP15" s="105"/>
      <c r="AQ15" s="122">
        <v>1</v>
      </c>
      <c r="AR15" s="105"/>
      <c r="AS15" s="11" t="s">
        <v>210</v>
      </c>
      <c r="AT15" s="122">
        <v>3</v>
      </c>
      <c r="AU15" s="105"/>
      <c r="AV15" s="122">
        <v>4</v>
      </c>
      <c r="AW15" s="105"/>
      <c r="AX15" s="122" t="s">
        <v>199</v>
      </c>
      <c r="AY15" s="105"/>
      <c r="AZ15" s="11" t="s">
        <v>211</v>
      </c>
      <c r="BA15" s="122">
        <v>7</v>
      </c>
      <c r="BB15" s="105"/>
      <c r="BC15" s="122" t="s">
        <v>56</v>
      </c>
      <c r="BD15" s="105"/>
      <c r="BE15" s="11" t="s">
        <v>57</v>
      </c>
      <c r="BF15" s="122" t="s">
        <v>78</v>
      </c>
      <c r="BG15" s="105"/>
      <c r="BH15" s="11" t="s">
        <v>212</v>
      </c>
      <c r="BI15" s="122">
        <v>6</v>
      </c>
      <c r="BJ15" s="105"/>
      <c r="BK15" s="122" t="s">
        <v>80</v>
      </c>
      <c r="BL15" s="105"/>
      <c r="BM15" s="11" t="s">
        <v>213</v>
      </c>
      <c r="BN15" s="11" t="s">
        <v>214</v>
      </c>
      <c r="BO15" s="11" t="s">
        <v>34</v>
      </c>
      <c r="BP15" s="11">
        <v>9</v>
      </c>
      <c r="BQ15" s="11" t="s">
        <v>34</v>
      </c>
      <c r="BR15" s="23" t="s">
        <v>172</v>
      </c>
      <c r="BS15" s="12"/>
      <c r="BT15" s="112">
        <v>2</v>
      </c>
      <c r="BU15" s="105"/>
      <c r="BV15" s="122" t="s">
        <v>88</v>
      </c>
      <c r="BW15" s="105"/>
      <c r="BX15" s="122" t="s">
        <v>215</v>
      </c>
      <c r="BY15" s="105"/>
      <c r="BZ15" s="11" t="s">
        <v>216</v>
      </c>
      <c r="CA15" s="122" t="s">
        <v>155</v>
      </c>
      <c r="CB15" s="105"/>
      <c r="CC15" s="122" t="s">
        <v>141</v>
      </c>
      <c r="CD15" s="105"/>
      <c r="CE15" s="11" t="s">
        <v>178</v>
      </c>
      <c r="CF15" s="11" t="s">
        <v>217</v>
      </c>
      <c r="CG15" s="11" t="s">
        <v>34</v>
      </c>
      <c r="CH15" s="11">
        <v>10</v>
      </c>
      <c r="CI15" s="11" t="s">
        <v>34</v>
      </c>
      <c r="CJ15" s="23" t="s">
        <v>218</v>
      </c>
      <c r="CK15" s="12"/>
      <c r="CL15" s="112">
        <v>6</v>
      </c>
      <c r="CM15" s="105"/>
      <c r="CN15" s="122" t="s">
        <v>139</v>
      </c>
      <c r="CO15" s="105"/>
      <c r="CP15" s="11" t="s">
        <v>140</v>
      </c>
      <c r="CQ15" s="122">
        <v>10</v>
      </c>
      <c r="CR15" s="105"/>
      <c r="CS15" s="11">
        <v>5</v>
      </c>
      <c r="CT15" s="11" t="s">
        <v>219</v>
      </c>
      <c r="CU15" s="11" t="s">
        <v>34</v>
      </c>
      <c r="CV15" s="11">
        <v>7</v>
      </c>
      <c r="CW15" s="11" t="s">
        <v>34</v>
      </c>
      <c r="CX15" s="23" t="s">
        <v>220</v>
      </c>
      <c r="CY15" s="12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</row>
    <row r="16" spans="1:117" s="3" customFormat="1" x14ac:dyDescent="0.3">
      <c r="A16" s="34">
        <v>10</v>
      </c>
      <c r="B16" s="21" t="s">
        <v>221</v>
      </c>
      <c r="C16" s="18" t="s">
        <v>222</v>
      </c>
      <c r="D16" s="115">
        <v>9</v>
      </c>
      <c r="E16" s="105"/>
      <c r="F16" s="13" t="s">
        <v>223</v>
      </c>
      <c r="G16" s="121">
        <v>6</v>
      </c>
      <c r="H16" s="105"/>
      <c r="I16" s="13" t="s">
        <v>183</v>
      </c>
      <c r="J16" s="121" t="s">
        <v>40</v>
      </c>
      <c r="K16" s="105"/>
      <c r="L16" s="121" t="s">
        <v>41</v>
      </c>
      <c r="M16" s="105"/>
      <c r="N16" s="13" t="s">
        <v>42</v>
      </c>
      <c r="O16" s="121">
        <v>9</v>
      </c>
      <c r="P16" s="105"/>
      <c r="Q16" s="121" t="s">
        <v>103</v>
      </c>
      <c r="R16" s="105"/>
      <c r="S16" s="13" t="s">
        <v>224</v>
      </c>
      <c r="T16" s="121" t="s">
        <v>44</v>
      </c>
      <c r="U16" s="105"/>
      <c r="V16" s="121">
        <v>9</v>
      </c>
      <c r="W16" s="105"/>
      <c r="X16" s="13" t="s">
        <v>45</v>
      </c>
      <c r="Y16" s="121">
        <v>10</v>
      </c>
      <c r="Z16" s="105"/>
      <c r="AA16" s="13" t="s">
        <v>85</v>
      </c>
      <c r="AB16" s="13" t="s">
        <v>225</v>
      </c>
      <c r="AC16" s="13" t="s">
        <v>34</v>
      </c>
      <c r="AD16" s="13">
        <v>7</v>
      </c>
      <c r="AE16" s="13" t="s">
        <v>34</v>
      </c>
      <c r="AF16" s="24" t="s">
        <v>226</v>
      </c>
      <c r="AG16" s="14"/>
      <c r="AH16" s="115">
        <v>10</v>
      </c>
      <c r="AI16" s="105"/>
      <c r="AJ16" s="13">
        <v>1</v>
      </c>
      <c r="AK16" s="121">
        <v>1</v>
      </c>
      <c r="AL16" s="105"/>
      <c r="AM16" s="121" t="s">
        <v>85</v>
      </c>
      <c r="AN16" s="105"/>
      <c r="AO16" s="121" t="s">
        <v>227</v>
      </c>
      <c r="AP16" s="105"/>
      <c r="AQ16" s="121" t="s">
        <v>44</v>
      </c>
      <c r="AR16" s="105"/>
      <c r="AS16" s="13" t="s">
        <v>228</v>
      </c>
      <c r="AT16" s="121">
        <v>2</v>
      </c>
      <c r="AU16" s="105"/>
      <c r="AV16" s="121">
        <v>4</v>
      </c>
      <c r="AW16" s="105"/>
      <c r="AX16" s="121" t="s">
        <v>54</v>
      </c>
      <c r="AY16" s="105"/>
      <c r="AZ16" s="13" t="s">
        <v>229</v>
      </c>
      <c r="BA16" s="121">
        <v>7</v>
      </c>
      <c r="BB16" s="105"/>
      <c r="BC16" s="121" t="s">
        <v>230</v>
      </c>
      <c r="BD16" s="105"/>
      <c r="BE16" s="13" t="s">
        <v>210</v>
      </c>
      <c r="BF16" s="121" t="s">
        <v>46</v>
      </c>
      <c r="BG16" s="105"/>
      <c r="BH16" s="13" t="s">
        <v>90</v>
      </c>
      <c r="BI16" s="121" t="s">
        <v>101</v>
      </c>
      <c r="BJ16" s="105"/>
      <c r="BK16" s="121" t="s">
        <v>38</v>
      </c>
      <c r="BL16" s="105"/>
      <c r="BM16" s="13" t="s">
        <v>231</v>
      </c>
      <c r="BN16" s="13" t="s">
        <v>73</v>
      </c>
      <c r="BO16" s="13" t="s">
        <v>34</v>
      </c>
      <c r="BP16" s="46">
        <v>4</v>
      </c>
      <c r="BQ16" s="13" t="s">
        <v>34</v>
      </c>
      <c r="BR16" s="55" t="s">
        <v>232</v>
      </c>
      <c r="BS16" s="14"/>
      <c r="BT16" s="115">
        <v>1</v>
      </c>
      <c r="BU16" s="105"/>
      <c r="BV16" s="121" t="s">
        <v>63</v>
      </c>
      <c r="BW16" s="105"/>
      <c r="BX16" s="121" t="s">
        <v>215</v>
      </c>
      <c r="BY16" s="105"/>
      <c r="BZ16" s="13" t="s">
        <v>233</v>
      </c>
      <c r="CA16" s="121" t="s">
        <v>155</v>
      </c>
      <c r="CB16" s="105"/>
      <c r="CC16" s="121">
        <v>5</v>
      </c>
      <c r="CD16" s="105"/>
      <c r="CE16" s="13" t="s">
        <v>156</v>
      </c>
      <c r="CF16" s="13" t="s">
        <v>234</v>
      </c>
      <c r="CG16" s="13" t="s">
        <v>34</v>
      </c>
      <c r="CH16" s="13" t="s">
        <v>61</v>
      </c>
      <c r="CI16" s="13" t="s">
        <v>34</v>
      </c>
      <c r="CJ16" s="24" t="s">
        <v>235</v>
      </c>
      <c r="CK16" s="14"/>
      <c r="CL16" s="115">
        <v>4</v>
      </c>
      <c r="CM16" s="105"/>
      <c r="CN16" s="121" t="s">
        <v>120</v>
      </c>
      <c r="CO16" s="105"/>
      <c r="CP16" s="13" t="s">
        <v>176</v>
      </c>
      <c r="CQ16" s="121" t="s">
        <v>51</v>
      </c>
      <c r="CR16" s="105"/>
      <c r="CS16" s="13" t="s">
        <v>229</v>
      </c>
      <c r="CT16" s="13" t="s">
        <v>236</v>
      </c>
      <c r="CU16" s="13" t="s">
        <v>34</v>
      </c>
      <c r="CV16" s="13">
        <v>6</v>
      </c>
      <c r="CW16" s="13" t="s">
        <v>34</v>
      </c>
      <c r="CX16" s="24" t="s">
        <v>237</v>
      </c>
      <c r="CY16" s="14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</row>
    <row r="17" spans="1:117" s="3" customFormat="1" x14ac:dyDescent="0.3">
      <c r="A17" s="34">
        <v>11</v>
      </c>
      <c r="B17" s="20" t="s">
        <v>238</v>
      </c>
      <c r="C17" s="17" t="s">
        <v>239</v>
      </c>
      <c r="D17" s="112">
        <v>10</v>
      </c>
      <c r="E17" s="105"/>
      <c r="F17" s="11" t="s">
        <v>38</v>
      </c>
      <c r="G17" s="122">
        <v>4</v>
      </c>
      <c r="H17" s="105"/>
      <c r="I17" s="11" t="s">
        <v>240</v>
      </c>
      <c r="J17" s="122" t="s">
        <v>80</v>
      </c>
      <c r="K17" s="105"/>
      <c r="L17" s="122">
        <v>7</v>
      </c>
      <c r="M17" s="105"/>
      <c r="N17" s="11" t="s">
        <v>241</v>
      </c>
      <c r="O17" s="122" t="s">
        <v>159</v>
      </c>
      <c r="P17" s="105"/>
      <c r="Q17" s="122" t="s">
        <v>52</v>
      </c>
      <c r="R17" s="105"/>
      <c r="S17" s="11" t="s">
        <v>242</v>
      </c>
      <c r="T17" s="122" t="s">
        <v>52</v>
      </c>
      <c r="U17" s="105"/>
      <c r="V17" s="122">
        <v>9</v>
      </c>
      <c r="W17" s="105"/>
      <c r="X17" s="11" t="s">
        <v>128</v>
      </c>
      <c r="Y17" s="122" t="s">
        <v>243</v>
      </c>
      <c r="Z17" s="105"/>
      <c r="AA17" s="11" t="s">
        <v>211</v>
      </c>
      <c r="AB17" s="11" t="s">
        <v>244</v>
      </c>
      <c r="AC17" s="11" t="s">
        <v>34</v>
      </c>
      <c r="AD17" s="11">
        <v>9</v>
      </c>
      <c r="AE17" s="11" t="s">
        <v>34</v>
      </c>
      <c r="AF17" s="23" t="s">
        <v>243</v>
      </c>
      <c r="AG17" s="12"/>
      <c r="AH17" s="112" t="s">
        <v>46</v>
      </c>
      <c r="AI17" s="105"/>
      <c r="AJ17" s="11" t="s">
        <v>50</v>
      </c>
      <c r="AK17" s="122">
        <v>1</v>
      </c>
      <c r="AL17" s="105"/>
      <c r="AM17" s="122" t="s">
        <v>155</v>
      </c>
      <c r="AN17" s="105"/>
      <c r="AO17" s="122">
        <v>3</v>
      </c>
      <c r="AP17" s="105"/>
      <c r="AQ17" s="122" t="s">
        <v>44</v>
      </c>
      <c r="AR17" s="105"/>
      <c r="AS17" s="11" t="s">
        <v>245</v>
      </c>
      <c r="AT17" s="122">
        <v>3</v>
      </c>
      <c r="AU17" s="105"/>
      <c r="AV17" s="122" t="s">
        <v>88</v>
      </c>
      <c r="AW17" s="105"/>
      <c r="AX17" s="122" t="s">
        <v>88</v>
      </c>
      <c r="AY17" s="105"/>
      <c r="AZ17" s="11" t="s">
        <v>229</v>
      </c>
      <c r="BA17" s="122">
        <v>7</v>
      </c>
      <c r="BB17" s="105"/>
      <c r="BC17" s="122" t="s">
        <v>133</v>
      </c>
      <c r="BD17" s="105"/>
      <c r="BE17" s="11" t="s">
        <v>134</v>
      </c>
      <c r="BF17" s="122" t="s">
        <v>41</v>
      </c>
      <c r="BG17" s="105"/>
      <c r="BH17" s="11" t="s">
        <v>111</v>
      </c>
      <c r="BI17" s="122">
        <v>6</v>
      </c>
      <c r="BJ17" s="105"/>
      <c r="BK17" s="122" t="s">
        <v>80</v>
      </c>
      <c r="BL17" s="105"/>
      <c r="BM17" s="11" t="s">
        <v>213</v>
      </c>
      <c r="BN17" s="11" t="s">
        <v>246</v>
      </c>
      <c r="BO17" s="11" t="s">
        <v>34</v>
      </c>
      <c r="BP17" s="11">
        <v>9</v>
      </c>
      <c r="BQ17" s="11" t="s">
        <v>34</v>
      </c>
      <c r="BR17" s="23" t="s">
        <v>247</v>
      </c>
      <c r="BS17" s="12"/>
      <c r="BT17" s="112">
        <v>2</v>
      </c>
      <c r="BU17" s="105"/>
      <c r="BV17" s="122">
        <v>4</v>
      </c>
      <c r="BW17" s="105"/>
      <c r="BX17" s="122" t="s">
        <v>64</v>
      </c>
      <c r="BY17" s="105"/>
      <c r="BZ17" s="11" t="s">
        <v>93</v>
      </c>
      <c r="CA17" s="122">
        <v>5</v>
      </c>
      <c r="CB17" s="105"/>
      <c r="CC17" s="122" t="s">
        <v>195</v>
      </c>
      <c r="CD17" s="105"/>
      <c r="CE17" s="11" t="s">
        <v>196</v>
      </c>
      <c r="CF17" s="11" t="s">
        <v>207</v>
      </c>
      <c r="CG17" s="11" t="s">
        <v>34</v>
      </c>
      <c r="CH17" s="11">
        <v>9</v>
      </c>
      <c r="CI17" s="11" t="s">
        <v>34</v>
      </c>
      <c r="CJ17" s="23" t="s">
        <v>248</v>
      </c>
      <c r="CK17" s="12"/>
      <c r="CL17" s="112">
        <v>5</v>
      </c>
      <c r="CM17" s="105"/>
      <c r="CN17" s="122" t="s">
        <v>249</v>
      </c>
      <c r="CO17" s="105"/>
      <c r="CP17" s="11" t="s">
        <v>250</v>
      </c>
      <c r="CQ17" s="122" t="s">
        <v>251</v>
      </c>
      <c r="CR17" s="105"/>
      <c r="CS17" s="11" t="s">
        <v>132</v>
      </c>
      <c r="CT17" s="11" t="s">
        <v>252</v>
      </c>
      <c r="CU17" s="11" t="s">
        <v>34</v>
      </c>
      <c r="CV17" s="11">
        <v>8</v>
      </c>
      <c r="CW17" s="11" t="s">
        <v>34</v>
      </c>
      <c r="CX17" s="23" t="s">
        <v>253</v>
      </c>
      <c r="CY17" s="12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</row>
    <row r="18" spans="1:117" s="3" customFormat="1" x14ac:dyDescent="0.3">
      <c r="A18" s="34">
        <v>12</v>
      </c>
      <c r="B18" s="21" t="s">
        <v>254</v>
      </c>
      <c r="C18" s="18" t="s">
        <v>255</v>
      </c>
      <c r="D18" s="115">
        <v>10</v>
      </c>
      <c r="E18" s="105"/>
      <c r="F18" s="13" t="s">
        <v>38</v>
      </c>
      <c r="G18" s="121" t="s">
        <v>46</v>
      </c>
      <c r="H18" s="105"/>
      <c r="I18" s="13" t="s">
        <v>205</v>
      </c>
      <c r="J18" s="121">
        <v>3</v>
      </c>
      <c r="K18" s="105"/>
      <c r="L18" s="121" t="s">
        <v>41</v>
      </c>
      <c r="M18" s="105"/>
      <c r="N18" s="13" t="s">
        <v>256</v>
      </c>
      <c r="O18" s="121">
        <v>7</v>
      </c>
      <c r="P18" s="105"/>
      <c r="Q18" s="121">
        <v>1</v>
      </c>
      <c r="R18" s="105"/>
      <c r="S18" s="13" t="s">
        <v>38</v>
      </c>
      <c r="T18" s="121">
        <v>1</v>
      </c>
      <c r="U18" s="105"/>
      <c r="V18" s="121">
        <v>9</v>
      </c>
      <c r="W18" s="105"/>
      <c r="X18" s="13">
        <v>2</v>
      </c>
      <c r="Y18" s="121">
        <v>9</v>
      </c>
      <c r="Z18" s="105"/>
      <c r="AA18" s="13" t="s">
        <v>88</v>
      </c>
      <c r="AB18" s="13" t="s">
        <v>257</v>
      </c>
      <c r="AC18" s="13" t="s">
        <v>34</v>
      </c>
      <c r="AD18" s="13">
        <v>10</v>
      </c>
      <c r="AE18" s="13" t="s">
        <v>34</v>
      </c>
      <c r="AF18" s="24" t="s">
        <v>258</v>
      </c>
      <c r="AG18" s="14"/>
      <c r="AH18" s="115">
        <v>10</v>
      </c>
      <c r="AI18" s="105"/>
      <c r="AJ18" s="13">
        <v>1</v>
      </c>
      <c r="AK18" s="121">
        <v>1</v>
      </c>
      <c r="AL18" s="105"/>
      <c r="AM18" s="121" t="s">
        <v>121</v>
      </c>
      <c r="AN18" s="105"/>
      <c r="AO18" s="121">
        <v>3</v>
      </c>
      <c r="AP18" s="105"/>
      <c r="AQ18" s="121">
        <v>1</v>
      </c>
      <c r="AR18" s="105"/>
      <c r="AS18" s="13" t="s">
        <v>259</v>
      </c>
      <c r="AT18" s="121">
        <v>3</v>
      </c>
      <c r="AU18" s="105"/>
      <c r="AV18" s="121">
        <v>4</v>
      </c>
      <c r="AW18" s="105"/>
      <c r="AX18" s="121" t="s">
        <v>199</v>
      </c>
      <c r="AY18" s="105"/>
      <c r="AZ18" s="13" t="s">
        <v>211</v>
      </c>
      <c r="BA18" s="121">
        <v>7</v>
      </c>
      <c r="BB18" s="105"/>
      <c r="BC18" s="121" t="s">
        <v>133</v>
      </c>
      <c r="BD18" s="105"/>
      <c r="BE18" s="13" t="s">
        <v>134</v>
      </c>
      <c r="BF18" s="121" t="s">
        <v>61</v>
      </c>
      <c r="BG18" s="105"/>
      <c r="BH18" s="13" t="s">
        <v>136</v>
      </c>
      <c r="BI18" s="121">
        <v>6</v>
      </c>
      <c r="BJ18" s="105"/>
      <c r="BK18" s="121">
        <v>4</v>
      </c>
      <c r="BL18" s="105"/>
      <c r="BM18" s="13" t="s">
        <v>260</v>
      </c>
      <c r="BN18" s="13" t="s">
        <v>261</v>
      </c>
      <c r="BO18" s="13" t="s">
        <v>34</v>
      </c>
      <c r="BP18" s="13">
        <v>10</v>
      </c>
      <c r="BQ18" s="13" t="s">
        <v>34</v>
      </c>
      <c r="BR18" s="24" t="s">
        <v>262</v>
      </c>
      <c r="BS18" s="14"/>
      <c r="BT18" s="115">
        <v>2</v>
      </c>
      <c r="BU18" s="105"/>
      <c r="BV18" s="121">
        <v>4</v>
      </c>
      <c r="BW18" s="105"/>
      <c r="BX18" s="121" t="s">
        <v>64</v>
      </c>
      <c r="BY18" s="105"/>
      <c r="BZ18" s="13" t="s">
        <v>93</v>
      </c>
      <c r="CA18" s="121">
        <v>5</v>
      </c>
      <c r="CB18" s="105"/>
      <c r="CC18" s="121" t="s">
        <v>141</v>
      </c>
      <c r="CD18" s="105"/>
      <c r="CE18" s="13" t="s">
        <v>263</v>
      </c>
      <c r="CF18" s="13" t="s">
        <v>264</v>
      </c>
      <c r="CG18" s="13" t="s">
        <v>34</v>
      </c>
      <c r="CH18" s="13">
        <v>10</v>
      </c>
      <c r="CI18" s="13" t="s">
        <v>34</v>
      </c>
      <c r="CJ18" s="24" t="s">
        <v>265</v>
      </c>
      <c r="CK18" s="14"/>
      <c r="CL18" s="115">
        <v>6</v>
      </c>
      <c r="CM18" s="105"/>
      <c r="CN18" s="121" t="s">
        <v>120</v>
      </c>
      <c r="CO18" s="105"/>
      <c r="CP18" s="13" t="s">
        <v>266</v>
      </c>
      <c r="CQ18" s="121" t="s">
        <v>46</v>
      </c>
      <c r="CR18" s="105"/>
      <c r="CS18" s="13" t="s">
        <v>131</v>
      </c>
      <c r="CT18" s="13" t="s">
        <v>267</v>
      </c>
      <c r="CU18" s="13" t="s">
        <v>34</v>
      </c>
      <c r="CV18" s="13">
        <v>10</v>
      </c>
      <c r="CW18" s="13" t="s">
        <v>34</v>
      </c>
      <c r="CX18" s="24" t="s">
        <v>268</v>
      </c>
      <c r="CY18" s="14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</row>
    <row r="19" spans="1:117" s="3" customFormat="1" x14ac:dyDescent="0.3">
      <c r="A19" s="34">
        <v>13</v>
      </c>
      <c r="B19" s="20" t="s">
        <v>269</v>
      </c>
      <c r="C19" s="17" t="s">
        <v>270</v>
      </c>
      <c r="D19" s="112">
        <v>10</v>
      </c>
      <c r="E19" s="105"/>
      <c r="F19" s="11" t="s">
        <v>38</v>
      </c>
      <c r="G19" s="122">
        <v>7</v>
      </c>
      <c r="H19" s="105"/>
      <c r="I19" s="11" t="s">
        <v>271</v>
      </c>
      <c r="J19" s="122">
        <v>3</v>
      </c>
      <c r="K19" s="105"/>
      <c r="L19" s="122">
        <v>7</v>
      </c>
      <c r="M19" s="105"/>
      <c r="N19" s="11" t="s">
        <v>54</v>
      </c>
      <c r="O19" s="122">
        <v>9</v>
      </c>
      <c r="P19" s="105"/>
      <c r="Q19" s="122">
        <v>1</v>
      </c>
      <c r="R19" s="105"/>
      <c r="S19" s="11" t="s">
        <v>54</v>
      </c>
      <c r="T19" s="122" t="s">
        <v>83</v>
      </c>
      <c r="U19" s="105"/>
      <c r="V19" s="122">
        <v>9</v>
      </c>
      <c r="W19" s="105"/>
      <c r="X19" s="11" t="s">
        <v>84</v>
      </c>
      <c r="Y19" s="122">
        <v>10</v>
      </c>
      <c r="Z19" s="105"/>
      <c r="AA19" s="11" t="s">
        <v>85</v>
      </c>
      <c r="AB19" s="11" t="s">
        <v>272</v>
      </c>
      <c r="AC19" s="11" t="s">
        <v>34</v>
      </c>
      <c r="AD19" s="11">
        <v>10</v>
      </c>
      <c r="AE19" s="11" t="s">
        <v>34</v>
      </c>
      <c r="AF19" s="23" t="s">
        <v>273</v>
      </c>
      <c r="AG19" s="12"/>
      <c r="AH19" s="130" t="s">
        <v>34</v>
      </c>
      <c r="AI19" s="105"/>
      <c r="AJ19" s="11" t="s">
        <v>34</v>
      </c>
      <c r="AK19" s="120" t="s">
        <v>34</v>
      </c>
      <c r="AL19" s="105"/>
      <c r="AM19" s="120" t="s">
        <v>34</v>
      </c>
      <c r="AN19" s="105"/>
      <c r="AO19" s="120" t="s">
        <v>34</v>
      </c>
      <c r="AP19" s="105"/>
      <c r="AQ19" s="120" t="s">
        <v>34</v>
      </c>
      <c r="AR19" s="105"/>
      <c r="AS19" s="11" t="s">
        <v>34</v>
      </c>
      <c r="AT19" s="120" t="s">
        <v>34</v>
      </c>
      <c r="AU19" s="105"/>
      <c r="AV19" s="120" t="s">
        <v>34</v>
      </c>
      <c r="AW19" s="105"/>
      <c r="AX19" s="120" t="s">
        <v>34</v>
      </c>
      <c r="AY19" s="105"/>
      <c r="AZ19" s="11" t="s">
        <v>34</v>
      </c>
      <c r="BA19" s="120" t="s">
        <v>34</v>
      </c>
      <c r="BB19" s="105"/>
      <c r="BC19" s="120" t="s">
        <v>34</v>
      </c>
      <c r="BD19" s="105"/>
      <c r="BE19" s="11" t="s">
        <v>34</v>
      </c>
      <c r="BF19" s="120" t="s">
        <v>34</v>
      </c>
      <c r="BG19" s="105"/>
      <c r="BH19" s="11" t="s">
        <v>34</v>
      </c>
      <c r="BI19" s="120" t="s">
        <v>34</v>
      </c>
      <c r="BJ19" s="105"/>
      <c r="BK19" s="120" t="s">
        <v>34</v>
      </c>
      <c r="BL19" s="105"/>
      <c r="BM19" s="11" t="s">
        <v>34</v>
      </c>
      <c r="BN19" s="11">
        <v>0</v>
      </c>
      <c r="BO19" s="11" t="s">
        <v>34</v>
      </c>
      <c r="BP19" s="11" t="s">
        <v>34</v>
      </c>
      <c r="BQ19" s="11" t="s">
        <v>34</v>
      </c>
      <c r="BR19" s="23">
        <v>0</v>
      </c>
      <c r="BS19" s="12" t="s">
        <v>35</v>
      </c>
      <c r="BT19" s="112">
        <v>2</v>
      </c>
      <c r="BU19" s="105"/>
      <c r="BV19" s="122" t="s">
        <v>63</v>
      </c>
      <c r="BW19" s="105"/>
      <c r="BX19" s="122" t="s">
        <v>215</v>
      </c>
      <c r="BY19" s="105"/>
      <c r="BZ19" s="11" t="s">
        <v>274</v>
      </c>
      <c r="CA19" s="122">
        <v>5</v>
      </c>
      <c r="CB19" s="105"/>
      <c r="CC19" s="122" t="s">
        <v>141</v>
      </c>
      <c r="CD19" s="105"/>
      <c r="CE19" s="11" t="s">
        <v>263</v>
      </c>
      <c r="CF19" s="11" t="s">
        <v>275</v>
      </c>
      <c r="CG19" s="11" t="s">
        <v>34</v>
      </c>
      <c r="CH19" s="11">
        <v>10</v>
      </c>
      <c r="CI19" s="11" t="s">
        <v>34</v>
      </c>
      <c r="CJ19" s="23" t="s">
        <v>276</v>
      </c>
      <c r="CK19" s="12"/>
      <c r="CL19" s="112">
        <v>6</v>
      </c>
      <c r="CM19" s="105"/>
      <c r="CN19" s="122" t="s">
        <v>249</v>
      </c>
      <c r="CO19" s="105"/>
      <c r="CP19" s="11" t="s">
        <v>277</v>
      </c>
      <c r="CQ19" s="122" t="s">
        <v>243</v>
      </c>
      <c r="CR19" s="105"/>
      <c r="CS19" s="11" t="s">
        <v>278</v>
      </c>
      <c r="CT19" s="11" t="s">
        <v>234</v>
      </c>
      <c r="CU19" s="11" t="s">
        <v>34</v>
      </c>
      <c r="CV19" s="11">
        <v>10</v>
      </c>
      <c r="CW19" s="11" t="s">
        <v>34</v>
      </c>
      <c r="CX19" s="23" t="s">
        <v>279</v>
      </c>
      <c r="CY19" s="12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</row>
    <row r="20" spans="1:117" s="3" customFormat="1" ht="15" thickBot="1" x14ac:dyDescent="0.35">
      <c r="A20" s="34">
        <v>14</v>
      </c>
      <c r="B20" s="21" t="s">
        <v>280</v>
      </c>
      <c r="C20" s="18" t="s">
        <v>281</v>
      </c>
      <c r="D20" s="113">
        <v>10</v>
      </c>
      <c r="E20" s="114"/>
      <c r="F20" s="15" t="s">
        <v>38</v>
      </c>
      <c r="G20" s="118" t="s">
        <v>61</v>
      </c>
      <c r="H20" s="114"/>
      <c r="I20" s="15" t="s">
        <v>145</v>
      </c>
      <c r="J20" s="118">
        <v>3</v>
      </c>
      <c r="K20" s="114"/>
      <c r="L20" s="118">
        <v>7</v>
      </c>
      <c r="M20" s="114"/>
      <c r="N20" s="15" t="s">
        <v>54</v>
      </c>
      <c r="O20" s="118">
        <v>9</v>
      </c>
      <c r="P20" s="114"/>
      <c r="Q20" s="118" t="s">
        <v>83</v>
      </c>
      <c r="R20" s="114"/>
      <c r="S20" s="15" t="s">
        <v>282</v>
      </c>
      <c r="T20" s="118" t="s">
        <v>83</v>
      </c>
      <c r="U20" s="114"/>
      <c r="V20" s="118">
        <v>9</v>
      </c>
      <c r="W20" s="114"/>
      <c r="X20" s="15" t="s">
        <v>84</v>
      </c>
      <c r="Y20" s="118">
        <v>10</v>
      </c>
      <c r="Z20" s="114"/>
      <c r="AA20" s="15" t="s">
        <v>85</v>
      </c>
      <c r="AB20" s="15" t="s">
        <v>283</v>
      </c>
      <c r="AC20" s="15" t="s">
        <v>34</v>
      </c>
      <c r="AD20" s="15">
        <v>10</v>
      </c>
      <c r="AE20" s="15" t="s">
        <v>34</v>
      </c>
      <c r="AF20" s="25" t="s">
        <v>284</v>
      </c>
      <c r="AG20" s="16"/>
      <c r="AH20" s="113">
        <v>9</v>
      </c>
      <c r="AI20" s="114"/>
      <c r="AJ20" s="15" t="s">
        <v>83</v>
      </c>
      <c r="AK20" s="118">
        <v>1</v>
      </c>
      <c r="AL20" s="114"/>
      <c r="AM20" s="118" t="s">
        <v>155</v>
      </c>
      <c r="AN20" s="114"/>
      <c r="AO20" s="118">
        <v>3</v>
      </c>
      <c r="AP20" s="114"/>
      <c r="AQ20" s="118">
        <v>1</v>
      </c>
      <c r="AR20" s="114"/>
      <c r="AS20" s="15" t="s">
        <v>285</v>
      </c>
      <c r="AT20" s="118">
        <v>2</v>
      </c>
      <c r="AU20" s="114"/>
      <c r="AV20" s="118">
        <v>4</v>
      </c>
      <c r="AW20" s="114"/>
      <c r="AX20" s="118" t="s">
        <v>88</v>
      </c>
      <c r="AY20" s="114"/>
      <c r="AZ20" s="15" t="s">
        <v>286</v>
      </c>
      <c r="BA20" s="118">
        <v>7</v>
      </c>
      <c r="BB20" s="114"/>
      <c r="BC20" s="118" t="s">
        <v>56</v>
      </c>
      <c r="BD20" s="114"/>
      <c r="BE20" s="15" t="s">
        <v>57</v>
      </c>
      <c r="BF20" s="118" t="s">
        <v>61</v>
      </c>
      <c r="BG20" s="114"/>
      <c r="BH20" s="15" t="s">
        <v>136</v>
      </c>
      <c r="BI20" s="118">
        <v>6</v>
      </c>
      <c r="BJ20" s="114"/>
      <c r="BK20" s="118" t="s">
        <v>80</v>
      </c>
      <c r="BL20" s="114"/>
      <c r="BM20" s="15" t="s">
        <v>213</v>
      </c>
      <c r="BN20" s="15" t="s">
        <v>109</v>
      </c>
      <c r="BO20" s="15" t="s">
        <v>34</v>
      </c>
      <c r="BP20" s="15">
        <v>8</v>
      </c>
      <c r="BQ20" s="15" t="s">
        <v>34</v>
      </c>
      <c r="BR20" s="25" t="s">
        <v>287</v>
      </c>
      <c r="BS20" s="16"/>
      <c r="BT20" s="113">
        <v>2</v>
      </c>
      <c r="BU20" s="114"/>
      <c r="BV20" s="118">
        <v>2</v>
      </c>
      <c r="BW20" s="114"/>
      <c r="BX20" s="118" t="s">
        <v>64</v>
      </c>
      <c r="BY20" s="114"/>
      <c r="BZ20" s="15" t="s">
        <v>115</v>
      </c>
      <c r="CA20" s="118">
        <v>5</v>
      </c>
      <c r="CB20" s="114"/>
      <c r="CC20" s="118">
        <v>4</v>
      </c>
      <c r="CD20" s="114"/>
      <c r="CE20" s="15" t="s">
        <v>215</v>
      </c>
      <c r="CF20" s="15" t="s">
        <v>288</v>
      </c>
      <c r="CG20" s="15" t="s">
        <v>34</v>
      </c>
      <c r="CH20" s="15">
        <v>10</v>
      </c>
      <c r="CI20" s="15" t="s">
        <v>34</v>
      </c>
      <c r="CJ20" s="25" t="s">
        <v>289</v>
      </c>
      <c r="CK20" s="16"/>
      <c r="CL20" s="113">
        <v>5</v>
      </c>
      <c r="CM20" s="114"/>
      <c r="CN20" s="118" t="s">
        <v>120</v>
      </c>
      <c r="CO20" s="114"/>
      <c r="CP20" s="15" t="s">
        <v>290</v>
      </c>
      <c r="CQ20" s="118" t="s">
        <v>135</v>
      </c>
      <c r="CR20" s="114"/>
      <c r="CS20" s="15" t="s">
        <v>291</v>
      </c>
      <c r="CT20" s="15" t="s">
        <v>292</v>
      </c>
      <c r="CU20" s="15" t="s">
        <v>34</v>
      </c>
      <c r="CV20" s="15" t="s">
        <v>78</v>
      </c>
      <c r="CW20" s="15" t="s">
        <v>34</v>
      </c>
      <c r="CX20" s="25" t="s">
        <v>293</v>
      </c>
      <c r="CY20" s="16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</row>
    <row r="21" spans="1:117" x14ac:dyDescent="0.3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26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26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26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26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</row>
    <row r="22" spans="1:117" x14ac:dyDescent="0.3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26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26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26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26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</row>
    <row r="23" spans="1:117" x14ac:dyDescent="0.3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26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26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26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26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</row>
    <row r="24" spans="1:117" ht="15" thickBot="1" x14ac:dyDescent="0.35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26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26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26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26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</row>
    <row r="25" spans="1:117" x14ac:dyDescent="0.3">
      <c r="B25" t="s">
        <v>328</v>
      </c>
      <c r="D25" s="10"/>
      <c r="E25" s="161" t="s">
        <v>337</v>
      </c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3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26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26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26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</row>
    <row r="26" spans="1:117" ht="15" thickBot="1" x14ac:dyDescent="0.35">
      <c r="D26" s="10"/>
      <c r="E26" s="48"/>
      <c r="F26" s="49"/>
      <c r="G26" s="50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1"/>
      <c r="W26" s="10"/>
      <c r="X26" s="10"/>
      <c r="Y26" s="10"/>
      <c r="Z26" s="10"/>
      <c r="AA26" s="10"/>
      <c r="AB26" s="10"/>
      <c r="AC26" s="10"/>
      <c r="AD26" s="10"/>
      <c r="AE26" s="10"/>
      <c r="AF26" s="26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26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26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26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</row>
    <row r="27" spans="1:117" ht="15" thickBot="1" x14ac:dyDescent="0.35">
      <c r="B27" t="s">
        <v>329</v>
      </c>
      <c r="D27" s="10"/>
      <c r="E27" s="48"/>
      <c r="F27" s="165" t="s">
        <v>333</v>
      </c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7"/>
      <c r="V27" s="51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26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26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26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</row>
    <row r="28" spans="1:117" x14ac:dyDescent="0.3">
      <c r="D28" s="10"/>
      <c r="E28" s="48"/>
      <c r="F28" s="4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42"/>
      <c r="V28" s="51"/>
      <c r="W28" s="10"/>
      <c r="X28" s="10"/>
      <c r="Y28" s="10"/>
      <c r="Z28" s="10"/>
      <c r="AA28" s="10"/>
      <c r="AB28" s="10"/>
      <c r="AC28" s="10"/>
      <c r="AD28" s="10"/>
      <c r="AE28" s="10"/>
      <c r="AF28" s="26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26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26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26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</row>
    <row r="29" spans="1:117" x14ac:dyDescent="0.3">
      <c r="D29" s="10"/>
      <c r="E29" s="48"/>
      <c r="F29" s="41"/>
      <c r="G29" s="116" t="s">
        <v>34</v>
      </c>
      <c r="H29" s="117"/>
      <c r="I29" s="10"/>
      <c r="J29" s="19" t="s">
        <v>331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42"/>
      <c r="V29" s="51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26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26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26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</row>
    <row r="30" spans="1:117" x14ac:dyDescent="0.3">
      <c r="D30" s="10"/>
      <c r="E30" s="48"/>
      <c r="F30" s="41"/>
      <c r="G30" s="10"/>
      <c r="H30" s="10"/>
      <c r="I30" s="10"/>
      <c r="J30" s="1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42"/>
      <c r="V30" s="51"/>
      <c r="W30" s="10"/>
      <c r="X30" s="10"/>
      <c r="Y30" s="10"/>
      <c r="Z30" s="10"/>
      <c r="AA30" s="10"/>
      <c r="AB30" s="10"/>
      <c r="AC30" s="10"/>
      <c r="AD30" s="10"/>
      <c r="AE30" s="10"/>
      <c r="AF30" s="26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26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26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26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</row>
    <row r="31" spans="1:117" x14ac:dyDescent="0.3">
      <c r="D31" s="10"/>
      <c r="E31" s="48"/>
      <c r="F31" s="41"/>
      <c r="G31" s="128">
        <v>0</v>
      </c>
      <c r="H31" s="105"/>
      <c r="I31" s="10"/>
      <c r="J31" s="19" t="s">
        <v>330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42"/>
      <c r="V31" s="51"/>
      <c r="W31" s="10"/>
      <c r="X31" s="10"/>
      <c r="Y31" s="10"/>
      <c r="Z31" s="10"/>
      <c r="AA31" s="10"/>
      <c r="AB31" s="10"/>
      <c r="AC31" s="10"/>
      <c r="AD31" s="10"/>
      <c r="AE31" s="10"/>
      <c r="AF31" s="26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26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26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26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</row>
    <row r="32" spans="1:117" x14ac:dyDescent="0.3">
      <c r="D32" s="10"/>
      <c r="E32" s="48"/>
      <c r="F32" s="41"/>
      <c r="G32" s="10" t="s">
        <v>34</v>
      </c>
      <c r="H32" s="10"/>
      <c r="I32" s="10"/>
      <c r="J32" s="1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42"/>
      <c r="V32" s="51"/>
      <c r="W32" s="10"/>
      <c r="X32" s="10"/>
      <c r="Y32" s="10"/>
      <c r="Z32" s="10"/>
      <c r="AA32" s="10"/>
      <c r="AB32" s="10"/>
      <c r="AC32" s="10"/>
      <c r="AD32" s="10"/>
      <c r="AE32" s="10"/>
      <c r="AF32" s="26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26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26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26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</row>
    <row r="33" spans="4:117" x14ac:dyDescent="0.3">
      <c r="D33" s="10"/>
      <c r="E33" s="48"/>
      <c r="F33" s="41"/>
      <c r="G33" s="164">
        <v>0</v>
      </c>
      <c r="H33" s="164"/>
      <c r="I33" s="10"/>
      <c r="J33" s="19" t="s">
        <v>332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42"/>
      <c r="V33" s="51"/>
      <c r="W33" s="10"/>
      <c r="X33" s="10"/>
      <c r="Y33" s="10"/>
      <c r="Z33" s="10"/>
      <c r="AA33" s="10"/>
      <c r="AB33" s="10"/>
      <c r="AC33" s="10"/>
      <c r="AD33" s="10"/>
      <c r="AE33" s="10"/>
      <c r="AF33" s="26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26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26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26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</row>
    <row r="34" spans="4:117" ht="15" thickBot="1" x14ac:dyDescent="0.35">
      <c r="D34" s="10"/>
      <c r="E34" s="48"/>
      <c r="F34" s="4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5"/>
      <c r="V34" s="51"/>
      <c r="W34" s="10"/>
      <c r="X34" s="10"/>
      <c r="Y34" s="10"/>
      <c r="Z34" s="10"/>
      <c r="AA34" s="10"/>
      <c r="AB34" s="10"/>
      <c r="AC34" s="10"/>
      <c r="AD34" s="10"/>
      <c r="AE34" s="10"/>
      <c r="AF34" s="26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26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26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26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</row>
    <row r="35" spans="4:117" ht="15" thickBot="1" x14ac:dyDescent="0.35">
      <c r="D35" s="10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51"/>
      <c r="W35" s="10"/>
      <c r="X35" s="10"/>
      <c r="Y35" s="10"/>
      <c r="Z35" s="10"/>
      <c r="AA35" s="10"/>
      <c r="AB35" s="10"/>
      <c r="AC35" s="10"/>
      <c r="AD35" s="10"/>
      <c r="AE35" s="10"/>
      <c r="AF35" s="26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26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26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26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</row>
    <row r="36" spans="4:117" ht="15" thickBot="1" x14ac:dyDescent="0.35">
      <c r="D36" s="10"/>
      <c r="E36" s="48"/>
      <c r="F36" s="165" t="s">
        <v>334</v>
      </c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7"/>
      <c r="V36" s="51"/>
      <c r="W36" s="10"/>
      <c r="X36" s="10"/>
      <c r="Y36" s="10"/>
      <c r="Z36" s="10"/>
      <c r="AA36" s="10"/>
      <c r="AB36" s="10"/>
      <c r="AC36" s="10"/>
      <c r="AD36" s="10"/>
      <c r="AE36" s="10"/>
      <c r="AF36" s="26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26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26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26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</row>
    <row r="37" spans="4:117" x14ac:dyDescent="0.3">
      <c r="D37" s="10"/>
      <c r="E37" s="48"/>
      <c r="F37" s="38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40"/>
      <c r="V37" s="51"/>
      <c r="W37" s="10"/>
      <c r="X37" s="10"/>
      <c r="Y37" s="10"/>
      <c r="Z37" s="10"/>
      <c r="AA37" s="10"/>
      <c r="AB37" s="10"/>
      <c r="AC37" s="10"/>
      <c r="AD37" s="10"/>
      <c r="AE37" s="10"/>
      <c r="AF37" s="26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26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26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26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</row>
    <row r="38" spans="4:117" x14ac:dyDescent="0.3">
      <c r="D38" s="10"/>
      <c r="E38" s="48"/>
      <c r="F38" s="41"/>
      <c r="G38" s="168"/>
      <c r="H38" s="168"/>
      <c r="I38" s="10"/>
      <c r="J38" s="19" t="s">
        <v>335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42"/>
      <c r="V38" s="51"/>
      <c r="W38" s="10"/>
      <c r="X38" s="10"/>
      <c r="Y38" s="10"/>
      <c r="Z38" s="10"/>
      <c r="AA38" s="10"/>
      <c r="AB38" s="10"/>
      <c r="AC38" s="10"/>
      <c r="AD38" s="10"/>
      <c r="AE38" s="10"/>
      <c r="AF38" s="26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26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26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26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</row>
    <row r="39" spans="4:117" x14ac:dyDescent="0.3">
      <c r="D39" s="10"/>
      <c r="E39" s="48"/>
      <c r="F39" s="41"/>
      <c r="G39" s="10"/>
      <c r="H39" s="10"/>
      <c r="I39" s="10"/>
      <c r="J39" s="1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42"/>
      <c r="V39" s="51"/>
      <c r="W39" s="10"/>
      <c r="X39" s="10"/>
      <c r="Y39" s="10"/>
      <c r="Z39" s="10"/>
      <c r="AA39" s="10"/>
      <c r="AB39" s="10"/>
      <c r="AC39" s="10"/>
      <c r="AD39" s="10"/>
      <c r="AE39" s="10"/>
      <c r="AF39" s="26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26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26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26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</row>
    <row r="40" spans="4:117" x14ac:dyDescent="0.3">
      <c r="D40" s="10"/>
      <c r="E40" s="48"/>
      <c r="F40" s="41"/>
      <c r="G40" s="169"/>
      <c r="H40" s="170"/>
      <c r="I40" s="10"/>
      <c r="J40" s="19" t="s">
        <v>336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42"/>
      <c r="V40" s="51"/>
      <c r="W40" s="10"/>
      <c r="X40" s="10"/>
      <c r="Y40" s="10"/>
      <c r="Z40" s="10"/>
      <c r="AA40" s="10"/>
      <c r="AB40" s="10"/>
      <c r="AC40" s="10"/>
      <c r="AD40" s="10"/>
      <c r="AE40" s="10"/>
      <c r="AF40" s="26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26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26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26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</row>
    <row r="41" spans="4:117" ht="15" thickBot="1" x14ac:dyDescent="0.35">
      <c r="D41" s="10"/>
      <c r="E41" s="48"/>
      <c r="F41" s="43"/>
      <c r="G41" s="44"/>
      <c r="H41" s="44"/>
      <c r="I41" s="44"/>
      <c r="J41" s="47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5"/>
      <c r="V41" s="51"/>
      <c r="W41" s="10"/>
      <c r="X41" s="10"/>
      <c r="Y41" s="10"/>
      <c r="Z41" s="10"/>
      <c r="AA41" s="10"/>
      <c r="AB41" s="10"/>
      <c r="AC41" s="10"/>
      <c r="AD41" s="10"/>
      <c r="AE41" s="10"/>
      <c r="AF41" s="26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26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26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26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</row>
    <row r="42" spans="4:117" x14ac:dyDescent="0.3">
      <c r="D42" s="10"/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51"/>
      <c r="W42" s="10"/>
      <c r="X42" s="10"/>
      <c r="Y42" s="10"/>
      <c r="Z42" s="10"/>
      <c r="AA42" s="10"/>
      <c r="AB42" s="10"/>
      <c r="AC42" s="10"/>
      <c r="AD42" s="10"/>
      <c r="AE42" s="10"/>
      <c r="AF42" s="26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26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26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26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</row>
    <row r="43" spans="4:117" ht="15" thickBot="1" x14ac:dyDescent="0.35">
      <c r="D43" s="10"/>
      <c r="E43" s="52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4"/>
      <c r="W43" s="10"/>
      <c r="X43" s="10"/>
      <c r="Y43" s="10"/>
      <c r="Z43" s="10"/>
      <c r="AA43" s="10"/>
      <c r="AB43" s="10"/>
      <c r="AC43" s="10"/>
      <c r="AD43" s="10"/>
      <c r="AE43" s="10"/>
      <c r="AF43" s="26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26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26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26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</row>
    <row r="44" spans="4:117" x14ac:dyDescent="0.3"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26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26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26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26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</row>
    <row r="45" spans="4:117" x14ac:dyDescent="0.3"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26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26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26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26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</row>
    <row r="46" spans="4:117" x14ac:dyDescent="0.3"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26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26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26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26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</row>
    <row r="47" spans="4:117" x14ac:dyDescent="0.3"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26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26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26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26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</row>
    <row r="48" spans="4:117" x14ac:dyDescent="0.3"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26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26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26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26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</row>
    <row r="49" spans="4:117" x14ac:dyDescent="0.3"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26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26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26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26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</row>
    <row r="50" spans="4:117" x14ac:dyDescent="0.3"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26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26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26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26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</row>
    <row r="51" spans="4:117" x14ac:dyDescent="0.3"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26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26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26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26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</row>
    <row r="52" spans="4:117" x14ac:dyDescent="0.3"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26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26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26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26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</row>
    <row r="53" spans="4:117" x14ac:dyDescent="0.3"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26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26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26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26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</row>
    <row r="54" spans="4:117" x14ac:dyDescent="0.3"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26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26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26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26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</row>
    <row r="55" spans="4:117" x14ac:dyDescent="0.3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26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26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26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26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</row>
    <row r="56" spans="4:117" x14ac:dyDescent="0.3"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26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26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26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26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</row>
    <row r="57" spans="4:117" x14ac:dyDescent="0.3"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26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26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26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26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</row>
    <row r="58" spans="4:117" x14ac:dyDescent="0.3"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26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26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26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26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</row>
    <row r="59" spans="4:117" x14ac:dyDescent="0.3"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26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26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26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26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</row>
    <row r="60" spans="4:117" x14ac:dyDescent="0.3"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26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26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26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26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</row>
    <row r="61" spans="4:117" x14ac:dyDescent="0.3"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26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26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26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26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</row>
    <row r="62" spans="4:117" x14ac:dyDescent="0.3"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26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26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26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26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</row>
    <row r="63" spans="4:117" x14ac:dyDescent="0.3"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26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26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26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26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</row>
    <row r="64" spans="4:117" x14ac:dyDescent="0.3"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26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26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26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26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</row>
    <row r="65" spans="4:117" x14ac:dyDescent="0.3"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26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26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26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26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</row>
    <row r="66" spans="4:117" x14ac:dyDescent="0.3"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26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26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26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26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</row>
    <row r="67" spans="4:117" x14ac:dyDescent="0.3"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26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26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26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26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</row>
    <row r="68" spans="4:117" x14ac:dyDescent="0.3"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26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26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26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26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</row>
    <row r="69" spans="4:117" x14ac:dyDescent="0.3"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26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26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26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26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</row>
    <row r="70" spans="4:117" x14ac:dyDescent="0.3"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26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26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26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26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</row>
    <row r="71" spans="4:117" x14ac:dyDescent="0.3"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26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26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26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26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</row>
    <row r="72" spans="4:117" x14ac:dyDescent="0.3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26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26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26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26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</row>
    <row r="73" spans="4:117" x14ac:dyDescent="0.3"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26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26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26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26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</row>
    <row r="74" spans="4:117" x14ac:dyDescent="0.3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6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26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26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26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</row>
    <row r="75" spans="4:117" x14ac:dyDescent="0.3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6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26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26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26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</row>
    <row r="76" spans="4:117" x14ac:dyDescent="0.3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26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26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26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26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</row>
    <row r="77" spans="4:117" x14ac:dyDescent="0.3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26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26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26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26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</row>
    <row r="78" spans="4:117" x14ac:dyDescent="0.3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26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26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26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26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</row>
    <row r="79" spans="4:117" x14ac:dyDescent="0.3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26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26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26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26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</row>
    <row r="80" spans="4:117" x14ac:dyDescent="0.3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26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26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26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26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</row>
    <row r="81" spans="4:117" x14ac:dyDescent="0.3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26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26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26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26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</row>
    <row r="82" spans="4:117" x14ac:dyDescent="0.3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26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26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26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26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</row>
    <row r="83" spans="4:117" x14ac:dyDescent="0.3"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26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26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26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26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</row>
    <row r="84" spans="4:117" x14ac:dyDescent="0.3"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26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26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26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26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</row>
    <row r="85" spans="4:117" x14ac:dyDescent="0.3"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26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26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26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26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</row>
    <row r="86" spans="4:117" x14ac:dyDescent="0.3"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26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26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26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26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</row>
    <row r="87" spans="4:117" x14ac:dyDescent="0.3"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26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26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26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26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</row>
    <row r="88" spans="4:117" x14ac:dyDescent="0.3"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26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26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26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26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</row>
    <row r="89" spans="4:117" x14ac:dyDescent="0.3"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26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26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26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26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</row>
    <row r="90" spans="4:117" x14ac:dyDescent="0.3"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26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26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26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26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</row>
    <row r="91" spans="4:117" x14ac:dyDescent="0.3"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26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26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26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26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</row>
    <row r="92" spans="4:117" x14ac:dyDescent="0.3"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26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26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26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26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</row>
    <row r="93" spans="4:117" x14ac:dyDescent="0.3"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26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26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26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26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</row>
    <row r="94" spans="4:117" x14ac:dyDescent="0.3"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26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26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26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26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</row>
    <row r="95" spans="4:117" x14ac:dyDescent="0.3"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26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26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26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26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</row>
    <row r="96" spans="4:117" x14ac:dyDescent="0.3"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26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26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26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26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</row>
    <row r="97" spans="4:117" x14ac:dyDescent="0.3"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26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26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26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26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</row>
    <row r="98" spans="4:117" x14ac:dyDescent="0.3"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26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26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26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26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</row>
    <row r="99" spans="4:117" x14ac:dyDescent="0.3"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26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26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26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26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</row>
    <row r="100" spans="4:117" x14ac:dyDescent="0.3"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26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26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26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26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</row>
    <row r="101" spans="4:117" x14ac:dyDescent="0.3"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26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26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26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26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</row>
    <row r="102" spans="4:117" x14ac:dyDescent="0.3"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26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26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26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26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</row>
    <row r="103" spans="4:117" x14ac:dyDescent="0.3"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26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26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26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26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</row>
    <row r="104" spans="4:117" x14ac:dyDescent="0.3"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26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26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26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26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</row>
    <row r="105" spans="4:117" x14ac:dyDescent="0.3"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26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26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26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26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</row>
    <row r="106" spans="4:117" x14ac:dyDescent="0.3"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26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26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26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26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</row>
    <row r="107" spans="4:117" x14ac:dyDescent="0.3"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26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26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26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26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</row>
    <row r="108" spans="4:117" x14ac:dyDescent="0.3"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26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26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26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26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</row>
    <row r="109" spans="4:117" x14ac:dyDescent="0.3"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26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26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26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26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</row>
    <row r="110" spans="4:117" x14ac:dyDescent="0.3"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26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26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26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26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</row>
    <row r="111" spans="4:117" x14ac:dyDescent="0.3"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26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26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26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26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</row>
    <row r="112" spans="4:117" x14ac:dyDescent="0.3"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26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26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26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26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</row>
    <row r="113" spans="4:117" x14ac:dyDescent="0.3"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26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26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26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26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</row>
    <row r="114" spans="4:117" x14ac:dyDescent="0.3"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26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26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26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26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</row>
    <row r="115" spans="4:117" x14ac:dyDescent="0.3"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26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26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26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26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</row>
    <row r="116" spans="4:117" x14ac:dyDescent="0.3"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26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26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26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26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</row>
    <row r="117" spans="4:117" x14ac:dyDescent="0.3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26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26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26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26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</row>
    <row r="118" spans="4:117" x14ac:dyDescent="0.3"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26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26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26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26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</row>
    <row r="119" spans="4:117" x14ac:dyDescent="0.3"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26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26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26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26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</row>
    <row r="120" spans="4:117" x14ac:dyDescent="0.3"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26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26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26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26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</row>
    <row r="121" spans="4:117" x14ac:dyDescent="0.3"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26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26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26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26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</row>
    <row r="122" spans="4:117" x14ac:dyDescent="0.3"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26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26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26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26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</row>
    <row r="123" spans="4:117" x14ac:dyDescent="0.3"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26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26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26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26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</row>
  </sheetData>
  <mergeCells count="506">
    <mergeCell ref="E25:V25"/>
    <mergeCell ref="G33:H33"/>
    <mergeCell ref="F27:U27"/>
    <mergeCell ref="F36:U36"/>
    <mergeCell ref="G38:H38"/>
    <mergeCell ref="G40:H40"/>
    <mergeCell ref="G29:H29"/>
    <mergeCell ref="G31:H31"/>
    <mergeCell ref="Y15:Z15"/>
    <mergeCell ref="Y16:Z16"/>
    <mergeCell ref="Y17:Z17"/>
    <mergeCell ref="Y18:Z18"/>
    <mergeCell ref="Y19:Z19"/>
    <mergeCell ref="Y20:Z20"/>
    <mergeCell ref="V20:W20"/>
    <mergeCell ref="V18:W18"/>
    <mergeCell ref="V19:W19"/>
    <mergeCell ref="T16:U16"/>
    <mergeCell ref="T17:U17"/>
    <mergeCell ref="T18:U18"/>
    <mergeCell ref="T19:U19"/>
    <mergeCell ref="T20:U20"/>
    <mergeCell ref="L20:M20"/>
    <mergeCell ref="L18:M18"/>
    <mergeCell ref="Y13:Z13"/>
    <mergeCell ref="Y14:Z14"/>
    <mergeCell ref="CV4:CV6"/>
    <mergeCell ref="CW4:CW6"/>
    <mergeCell ref="CX4:CX6"/>
    <mergeCell ref="CQ10:CR10"/>
    <mergeCell ref="CK4:CK6"/>
    <mergeCell ref="BX14:BY14"/>
    <mergeCell ref="BT10:BU10"/>
    <mergeCell ref="BV10:BW10"/>
    <mergeCell ref="BX10:BY10"/>
    <mergeCell ref="BX11:BY11"/>
    <mergeCell ref="BV11:BW11"/>
    <mergeCell ref="BT11:BU11"/>
    <mergeCell ref="BO4:BO6"/>
    <mergeCell ref="BP4:BP6"/>
    <mergeCell ref="BQ4:BQ6"/>
    <mergeCell ref="BR4:BR6"/>
    <mergeCell ref="BS4:BS6"/>
    <mergeCell ref="BK12:BL12"/>
    <mergeCell ref="CN12:CO12"/>
    <mergeCell ref="CN13:CO13"/>
    <mergeCell ref="CN14:CO14"/>
    <mergeCell ref="CN15:CO15"/>
    <mergeCell ref="CN16:CO16"/>
    <mergeCell ref="CQ5:CR5"/>
    <mergeCell ref="CQ7:CR7"/>
    <mergeCell ref="CQ8:CR8"/>
    <mergeCell ref="CQ9:CR9"/>
    <mergeCell ref="CQ20:CR20"/>
    <mergeCell ref="CQ19:CR19"/>
    <mergeCell ref="CQ18:CR18"/>
    <mergeCell ref="CQ17:CR17"/>
    <mergeCell ref="CT4:CT6"/>
    <mergeCell ref="CU4:CU6"/>
    <mergeCell ref="CQ11:CR11"/>
    <mergeCell ref="CQ12:CR12"/>
    <mergeCell ref="CQ13:CR13"/>
    <mergeCell ref="CQ14:CR14"/>
    <mergeCell ref="CQ15:CR15"/>
    <mergeCell ref="CQ16:CR16"/>
    <mergeCell ref="CN17:CO17"/>
    <mergeCell ref="CN18:CO18"/>
    <mergeCell ref="CN19:CO19"/>
    <mergeCell ref="CN20:CO20"/>
    <mergeCell ref="CN5:CO5"/>
    <mergeCell ref="CL20:CM20"/>
    <mergeCell ref="CN8:CO8"/>
    <mergeCell ref="CN9:CO9"/>
    <mergeCell ref="CN10:CO10"/>
    <mergeCell ref="CN11:CO11"/>
    <mergeCell ref="CL18:CM18"/>
    <mergeCell ref="CL19:CM19"/>
    <mergeCell ref="CL12:CM12"/>
    <mergeCell ref="CL13:CM13"/>
    <mergeCell ref="CL14:CM14"/>
    <mergeCell ref="CL15:CM15"/>
    <mergeCell ref="CL16:CM16"/>
    <mergeCell ref="CL17:CM17"/>
    <mergeCell ref="CN7:CO7"/>
    <mergeCell ref="CL7:CM7"/>
    <mergeCell ref="CL8:CM8"/>
    <mergeCell ref="CL9:CM9"/>
    <mergeCell ref="CL10:CM10"/>
    <mergeCell ref="CL11:CM11"/>
    <mergeCell ref="CC10:CD10"/>
    <mergeCell ref="A5:A6"/>
    <mergeCell ref="B5:B6"/>
    <mergeCell ref="C5:C6"/>
    <mergeCell ref="CL5:CM5"/>
    <mergeCell ref="CC9:CD9"/>
    <mergeCell ref="CF4:CF6"/>
    <mergeCell ref="CG4:CG6"/>
    <mergeCell ref="CH4:CH6"/>
    <mergeCell ref="CI4:CI6"/>
    <mergeCell ref="CJ4:CJ6"/>
    <mergeCell ref="CC8:CD8"/>
    <mergeCell ref="BT8:BU8"/>
    <mergeCell ref="BV8:BW8"/>
    <mergeCell ref="BX8:BY8"/>
    <mergeCell ref="BX9:BY9"/>
    <mergeCell ref="BV9:BW9"/>
    <mergeCell ref="BT9:BU9"/>
    <mergeCell ref="BT5:BU5"/>
    <mergeCell ref="BV5:BW5"/>
    <mergeCell ref="BX5:BY5"/>
    <mergeCell ref="BX7:BY7"/>
    <mergeCell ref="BV7:BW7"/>
    <mergeCell ref="BT7:BU7"/>
    <mergeCell ref="CA17:CB17"/>
    <mergeCell ref="CA18:CB18"/>
    <mergeCell ref="CA19:CB19"/>
    <mergeCell ref="CA20:CB20"/>
    <mergeCell ref="CC13:CD13"/>
    <mergeCell ref="CC14:CD14"/>
    <mergeCell ref="CA11:CB11"/>
    <mergeCell ref="CA12:CB12"/>
    <mergeCell ref="CA13:CB13"/>
    <mergeCell ref="CA14:CB14"/>
    <mergeCell ref="CA15:CB15"/>
    <mergeCell ref="CA16:CB16"/>
    <mergeCell ref="CC20:CD20"/>
    <mergeCell ref="CC19:CD19"/>
    <mergeCell ref="CC18:CD18"/>
    <mergeCell ref="CC17:CD17"/>
    <mergeCell ref="CC16:CD16"/>
    <mergeCell ref="CC15:CD15"/>
    <mergeCell ref="CC12:CD12"/>
    <mergeCell ref="CC11:CD11"/>
    <mergeCell ref="BT20:BU20"/>
    <mergeCell ref="BV20:BW20"/>
    <mergeCell ref="BX20:BY20"/>
    <mergeCell ref="CA5:CB5"/>
    <mergeCell ref="CC5:CD5"/>
    <mergeCell ref="CC7:CD7"/>
    <mergeCell ref="CA7:CB7"/>
    <mergeCell ref="CA8:CB8"/>
    <mergeCell ref="CA9:CB9"/>
    <mergeCell ref="CA10:CB10"/>
    <mergeCell ref="BT18:BU18"/>
    <mergeCell ref="BV18:BW18"/>
    <mergeCell ref="BX18:BY18"/>
    <mergeCell ref="BX19:BY19"/>
    <mergeCell ref="BV19:BW19"/>
    <mergeCell ref="BT19:BU19"/>
    <mergeCell ref="BT16:BU16"/>
    <mergeCell ref="BV16:BW16"/>
    <mergeCell ref="BX16:BY16"/>
    <mergeCell ref="BX17:BY17"/>
    <mergeCell ref="BV17:BW17"/>
    <mergeCell ref="BT17:BU17"/>
    <mergeCell ref="BT14:BU14"/>
    <mergeCell ref="BV14:BW14"/>
    <mergeCell ref="BX15:BY15"/>
    <mergeCell ref="BV15:BW15"/>
    <mergeCell ref="BT15:BU15"/>
    <mergeCell ref="BT12:BU12"/>
    <mergeCell ref="BV12:BW12"/>
    <mergeCell ref="BX12:BY12"/>
    <mergeCell ref="BX13:BY13"/>
    <mergeCell ref="BV13:BW13"/>
    <mergeCell ref="BT13:BU13"/>
    <mergeCell ref="BK13:BL13"/>
    <mergeCell ref="BK18:BL18"/>
    <mergeCell ref="BK19:BL19"/>
    <mergeCell ref="BK20:BL20"/>
    <mergeCell ref="BK14:BL14"/>
    <mergeCell ref="BK15:BL15"/>
    <mergeCell ref="BK16:BL16"/>
    <mergeCell ref="BK17:BL17"/>
    <mergeCell ref="BK5:BL5"/>
    <mergeCell ref="BK7:BL7"/>
    <mergeCell ref="BK8:BL8"/>
    <mergeCell ref="BK9:BL9"/>
    <mergeCell ref="BK10:BL10"/>
    <mergeCell ref="BK11:BL11"/>
    <mergeCell ref="BI15:BJ15"/>
    <mergeCell ref="BI16:BJ16"/>
    <mergeCell ref="BI17:BJ17"/>
    <mergeCell ref="BI18:BJ18"/>
    <mergeCell ref="BI19:BJ19"/>
    <mergeCell ref="BI20:BJ20"/>
    <mergeCell ref="BF20:BG20"/>
    <mergeCell ref="BI5:BJ5"/>
    <mergeCell ref="BI7:BJ7"/>
    <mergeCell ref="BI8:BJ8"/>
    <mergeCell ref="BI9:BJ9"/>
    <mergeCell ref="BI10:BJ10"/>
    <mergeCell ref="BI11:BJ11"/>
    <mergeCell ref="BI12:BJ12"/>
    <mergeCell ref="BI13:BJ13"/>
    <mergeCell ref="BI14:BJ14"/>
    <mergeCell ref="BF14:BG14"/>
    <mergeCell ref="BF15:BG15"/>
    <mergeCell ref="BF16:BG16"/>
    <mergeCell ref="BF17:BG17"/>
    <mergeCell ref="BF18:BG18"/>
    <mergeCell ref="BF19:BG19"/>
    <mergeCell ref="BC17:BD17"/>
    <mergeCell ref="BC16:BD16"/>
    <mergeCell ref="BC15:BD15"/>
    <mergeCell ref="BC14:BD14"/>
    <mergeCell ref="BC13:BD13"/>
    <mergeCell ref="BF5:BG5"/>
    <mergeCell ref="BF7:BG7"/>
    <mergeCell ref="BF8:BG8"/>
    <mergeCell ref="BF9:BG9"/>
    <mergeCell ref="BF10:BG10"/>
    <mergeCell ref="BF11:BG11"/>
    <mergeCell ref="BF12:BG12"/>
    <mergeCell ref="BF13:BG13"/>
    <mergeCell ref="BC12:BD12"/>
    <mergeCell ref="BC20:BD20"/>
    <mergeCell ref="BA15:BB15"/>
    <mergeCell ref="BA16:BB16"/>
    <mergeCell ref="BA17:BB17"/>
    <mergeCell ref="BA18:BB18"/>
    <mergeCell ref="BA19:BB19"/>
    <mergeCell ref="BA20:BB20"/>
    <mergeCell ref="BC11:BD11"/>
    <mergeCell ref="BC5:BD5"/>
    <mergeCell ref="BA5:BB5"/>
    <mergeCell ref="BA7:BB7"/>
    <mergeCell ref="BA8:BB8"/>
    <mergeCell ref="BA9:BB9"/>
    <mergeCell ref="BA10:BB10"/>
    <mergeCell ref="BC10:BD10"/>
    <mergeCell ref="BC9:BD9"/>
    <mergeCell ref="BC8:BD8"/>
    <mergeCell ref="BC7:BD7"/>
    <mergeCell ref="BA12:BB12"/>
    <mergeCell ref="BA11:BB11"/>
    <mergeCell ref="BA13:BB13"/>
    <mergeCell ref="BA14:BB14"/>
    <mergeCell ref="BC19:BD19"/>
    <mergeCell ref="BC18:BD18"/>
    <mergeCell ref="AT20:AU20"/>
    <mergeCell ref="AX13:AY13"/>
    <mergeCell ref="AV13:AW13"/>
    <mergeCell ref="AT13:AU13"/>
    <mergeCell ref="AT14:AU14"/>
    <mergeCell ref="AV14:AW14"/>
    <mergeCell ref="AX14:AY14"/>
    <mergeCell ref="AX15:AY15"/>
    <mergeCell ref="AX16:AY16"/>
    <mergeCell ref="AX17:AY17"/>
    <mergeCell ref="AX18:AY18"/>
    <mergeCell ref="AX19:AY19"/>
    <mergeCell ref="AX20:AY20"/>
    <mergeCell ref="AV20:AW20"/>
    <mergeCell ref="AV19:AW19"/>
    <mergeCell ref="AV18:AW18"/>
    <mergeCell ref="AV17:AW17"/>
    <mergeCell ref="AV16:AW16"/>
    <mergeCell ref="AV15:AW15"/>
    <mergeCell ref="AQ18:AR18"/>
    <mergeCell ref="AQ19:AR19"/>
    <mergeCell ref="AX11:AY11"/>
    <mergeCell ref="AV11:AW11"/>
    <mergeCell ref="AT11:AU11"/>
    <mergeCell ref="AT12:AU12"/>
    <mergeCell ref="AV12:AW12"/>
    <mergeCell ref="AX12:AY12"/>
    <mergeCell ref="AX9:AY9"/>
    <mergeCell ref="AV9:AW9"/>
    <mergeCell ref="AT9:AU9"/>
    <mergeCell ref="AT10:AU10"/>
    <mergeCell ref="AV10:AW10"/>
    <mergeCell ref="AX10:AY10"/>
    <mergeCell ref="AT15:AU15"/>
    <mergeCell ref="AT16:AU16"/>
    <mergeCell ref="AT17:AU17"/>
    <mergeCell ref="AT18:AU18"/>
    <mergeCell ref="AT19:AU19"/>
    <mergeCell ref="AX7:AY7"/>
    <mergeCell ref="AV7:AW7"/>
    <mergeCell ref="AT7:AU7"/>
    <mergeCell ref="AT8:AU8"/>
    <mergeCell ref="AV8:AW8"/>
    <mergeCell ref="AX8:AY8"/>
    <mergeCell ref="AQ14:AR14"/>
    <mergeCell ref="AQ15:AR15"/>
    <mergeCell ref="AQ16:AR16"/>
    <mergeCell ref="AO19:AP19"/>
    <mergeCell ref="AO20:AP20"/>
    <mergeCell ref="AQ5:AR5"/>
    <mergeCell ref="AQ7:AR7"/>
    <mergeCell ref="AQ8:AR8"/>
    <mergeCell ref="AQ9:AR9"/>
    <mergeCell ref="AQ10:AR10"/>
    <mergeCell ref="AQ11:AR11"/>
    <mergeCell ref="AQ12:AR12"/>
    <mergeCell ref="AQ13:AR13"/>
    <mergeCell ref="AO13:AP13"/>
    <mergeCell ref="AO14:AP14"/>
    <mergeCell ref="AO15:AP15"/>
    <mergeCell ref="AO16:AP16"/>
    <mergeCell ref="AO17:AP17"/>
    <mergeCell ref="AO18:AP18"/>
    <mergeCell ref="AO7:AP7"/>
    <mergeCell ref="AO8:AP8"/>
    <mergeCell ref="AO9:AP9"/>
    <mergeCell ref="AO10:AP10"/>
    <mergeCell ref="AO11:AP11"/>
    <mergeCell ref="AO12:AP12"/>
    <mergeCell ref="AQ20:AR20"/>
    <mergeCell ref="AQ17:AR17"/>
    <mergeCell ref="AH15:AI15"/>
    <mergeCell ref="AH16:AI16"/>
    <mergeCell ref="AH17:AI17"/>
    <mergeCell ref="AH18:AI18"/>
    <mergeCell ref="AH19:AI19"/>
    <mergeCell ref="AH20:AI20"/>
    <mergeCell ref="AH9:AI9"/>
    <mergeCell ref="AH10:AI10"/>
    <mergeCell ref="AH11:AI11"/>
    <mergeCell ref="AH12:AI12"/>
    <mergeCell ref="AH13:AI13"/>
    <mergeCell ref="AH14:AI14"/>
    <mergeCell ref="AH7:AI7"/>
    <mergeCell ref="AH8:AI8"/>
    <mergeCell ref="AM14:AN14"/>
    <mergeCell ref="AM13:AN13"/>
    <mergeCell ref="AM12:AN12"/>
    <mergeCell ref="AM11:AN11"/>
    <mergeCell ref="AM10:AN10"/>
    <mergeCell ref="AM9:AN9"/>
    <mergeCell ref="AK13:AL13"/>
    <mergeCell ref="AK12:AL12"/>
    <mergeCell ref="AK11:AL11"/>
    <mergeCell ref="AK10:AL10"/>
    <mergeCell ref="AM20:AN20"/>
    <mergeCell ref="AM19:AN19"/>
    <mergeCell ref="AM18:AN18"/>
    <mergeCell ref="AM17:AN17"/>
    <mergeCell ref="AM16:AN16"/>
    <mergeCell ref="AM15:AN15"/>
    <mergeCell ref="AK7:AL7"/>
    <mergeCell ref="AK8:AL8"/>
    <mergeCell ref="AK9:AL9"/>
    <mergeCell ref="AK20:AL20"/>
    <mergeCell ref="AK19:AL19"/>
    <mergeCell ref="AK18:AL18"/>
    <mergeCell ref="AK17:AL17"/>
    <mergeCell ref="AK16:AL16"/>
    <mergeCell ref="AK15:AL15"/>
    <mergeCell ref="AK14:AL14"/>
    <mergeCell ref="AM8:AN8"/>
    <mergeCell ref="AM7:AN7"/>
    <mergeCell ref="O19:P19"/>
    <mergeCell ref="Q19:R19"/>
    <mergeCell ref="Q20:R20"/>
    <mergeCell ref="O20:P20"/>
    <mergeCell ref="Q18:R18"/>
    <mergeCell ref="O18:P18"/>
    <mergeCell ref="V11:W11"/>
    <mergeCell ref="AB4:AB6"/>
    <mergeCell ref="AC4:AC6"/>
    <mergeCell ref="V14:W14"/>
    <mergeCell ref="V15:W15"/>
    <mergeCell ref="V16:W16"/>
    <mergeCell ref="V17:W17"/>
    <mergeCell ref="V8:W8"/>
    <mergeCell ref="V9:W9"/>
    <mergeCell ref="V10:W10"/>
    <mergeCell ref="V12:W12"/>
    <mergeCell ref="V13:W13"/>
    <mergeCell ref="Y7:Z7"/>
    <mergeCell ref="Y8:Z8"/>
    <mergeCell ref="Y9:Z9"/>
    <mergeCell ref="Y10:Z10"/>
    <mergeCell ref="Y11:Z11"/>
    <mergeCell ref="Y12:Z12"/>
    <mergeCell ref="V7:W7"/>
    <mergeCell ref="T8:U8"/>
    <mergeCell ref="T9:U9"/>
    <mergeCell ref="Q16:R16"/>
    <mergeCell ref="O16:P16"/>
    <mergeCell ref="O17:P17"/>
    <mergeCell ref="Q17:R17"/>
    <mergeCell ref="O13:P13"/>
    <mergeCell ref="Q13:R13"/>
    <mergeCell ref="Q14:R14"/>
    <mergeCell ref="O14:P14"/>
    <mergeCell ref="O15:P15"/>
    <mergeCell ref="Q15:R15"/>
    <mergeCell ref="Q10:R10"/>
    <mergeCell ref="O10:P10"/>
    <mergeCell ref="O11:P11"/>
    <mergeCell ref="Q11:R11"/>
    <mergeCell ref="Q12:R12"/>
    <mergeCell ref="O12:P12"/>
    <mergeCell ref="O7:P7"/>
    <mergeCell ref="T10:U10"/>
    <mergeCell ref="T11:U11"/>
    <mergeCell ref="T12:U12"/>
    <mergeCell ref="T13:U13"/>
    <mergeCell ref="Q7:R7"/>
    <mergeCell ref="Q8:R8"/>
    <mergeCell ref="O8:P8"/>
    <mergeCell ref="O9:P9"/>
    <mergeCell ref="Q9:R9"/>
    <mergeCell ref="L13:M13"/>
    <mergeCell ref="L14:M14"/>
    <mergeCell ref="L15:M15"/>
    <mergeCell ref="T5:U5"/>
    <mergeCell ref="T7:U7"/>
    <mergeCell ref="O5:P5"/>
    <mergeCell ref="T14:U14"/>
    <mergeCell ref="T15:U15"/>
    <mergeCell ref="J20:K20"/>
    <mergeCell ref="L5:M5"/>
    <mergeCell ref="L7:M7"/>
    <mergeCell ref="L8:M8"/>
    <mergeCell ref="L9:M9"/>
    <mergeCell ref="L10:M10"/>
    <mergeCell ref="L11:M11"/>
    <mergeCell ref="L12:M12"/>
    <mergeCell ref="J12:K12"/>
    <mergeCell ref="J13:K13"/>
    <mergeCell ref="J14:K14"/>
    <mergeCell ref="J15:K15"/>
    <mergeCell ref="J16:K16"/>
    <mergeCell ref="J17:K17"/>
    <mergeCell ref="J7:K7"/>
    <mergeCell ref="J8:K8"/>
    <mergeCell ref="J9:K9"/>
    <mergeCell ref="J10:K10"/>
    <mergeCell ref="J11:K11"/>
    <mergeCell ref="L16:M16"/>
    <mergeCell ref="L17:M17"/>
    <mergeCell ref="L19:M19"/>
    <mergeCell ref="J18:K18"/>
    <mergeCell ref="J19:K19"/>
    <mergeCell ref="G20:H20"/>
    <mergeCell ref="G5:H5"/>
    <mergeCell ref="G7:H7"/>
    <mergeCell ref="G8:H8"/>
    <mergeCell ref="G9:H9"/>
    <mergeCell ref="G10:H10"/>
    <mergeCell ref="G11:H11"/>
    <mergeCell ref="G12:H12"/>
    <mergeCell ref="G13:H13"/>
    <mergeCell ref="G15:H15"/>
    <mergeCell ref="G14:H14"/>
    <mergeCell ref="G16:H16"/>
    <mergeCell ref="G17:H17"/>
    <mergeCell ref="G18:H18"/>
    <mergeCell ref="G19:H19"/>
    <mergeCell ref="D19:E19"/>
    <mergeCell ref="D20:E20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B1:C4"/>
    <mergeCell ref="D3:AG3"/>
    <mergeCell ref="D5:E5"/>
    <mergeCell ref="AF4:AF6"/>
    <mergeCell ref="AG4:AG6"/>
    <mergeCell ref="AK5:AL5"/>
    <mergeCell ref="Y5:Z5"/>
    <mergeCell ref="AO5:AP5"/>
    <mergeCell ref="BT4:BZ4"/>
    <mergeCell ref="AH3:BS3"/>
    <mergeCell ref="BT3:CK3"/>
    <mergeCell ref="J5:K5"/>
    <mergeCell ref="Q5:R5"/>
    <mergeCell ref="V5:W5"/>
    <mergeCell ref="AD4:AD6"/>
    <mergeCell ref="AE4:AE6"/>
    <mergeCell ref="AM5:AN5"/>
    <mergeCell ref="AH5:AI5"/>
    <mergeCell ref="AT5:AU5"/>
    <mergeCell ref="AV5:AW5"/>
    <mergeCell ref="AX5:AY5"/>
    <mergeCell ref="BN4:BN6"/>
    <mergeCell ref="CL3:CY3"/>
    <mergeCell ref="D4:F4"/>
    <mergeCell ref="G4:I4"/>
    <mergeCell ref="J4:N4"/>
    <mergeCell ref="O4:S4"/>
    <mergeCell ref="T4:X4"/>
    <mergeCell ref="Y4:AA4"/>
    <mergeCell ref="CA4:CE4"/>
    <mergeCell ref="CL4:CP4"/>
    <mergeCell ref="CQ4:CS4"/>
    <mergeCell ref="AH4:AJ4"/>
    <mergeCell ref="AK4:AS4"/>
    <mergeCell ref="AT4:AZ4"/>
    <mergeCell ref="BA4:BE4"/>
    <mergeCell ref="BF4:BH4"/>
    <mergeCell ref="BI4:BM4"/>
    <mergeCell ref="CY4:CY6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D882-76E0-477E-AC5E-86B675C0CC9D}">
  <dimension ref="A1:DM123"/>
  <sheetViews>
    <sheetView showGridLines="0" tabSelected="1" zoomScale="90" zoomScaleNormal="90" workbookViewId="0">
      <pane xSplit="3" ySplit="6" topLeftCell="D7" activePane="bottomRight" state="frozen"/>
      <selection pane="topRight" activeCell="C1" sqref="C1"/>
      <selection pane="bottomLeft" activeCell="A7" sqref="A7"/>
      <selection pane="bottomRight" activeCell="BC16" sqref="BC16:BD16"/>
    </sheetView>
  </sheetViews>
  <sheetFormatPr baseColWidth="10" defaultRowHeight="14.4" x14ac:dyDescent="0.3"/>
  <cols>
    <col min="1" max="1" width="3" bestFit="1" customWidth="1"/>
    <col min="2" max="2" width="15" customWidth="1"/>
    <col min="3" max="3" width="22.77734375" style="19" customWidth="1"/>
    <col min="4" max="31" width="5.77734375" customWidth="1"/>
    <col min="32" max="32" width="5.77734375" style="22" customWidth="1"/>
    <col min="33" max="69" width="5.77734375" customWidth="1"/>
    <col min="70" max="70" width="5.77734375" style="22" customWidth="1"/>
    <col min="71" max="87" width="5.77734375" customWidth="1"/>
    <col min="88" max="88" width="5.77734375" style="22" customWidth="1"/>
    <col min="89" max="101" width="5.77734375" customWidth="1"/>
    <col min="102" max="102" width="5.77734375" style="22" customWidth="1"/>
    <col min="103" max="103" width="5.77734375" customWidth="1"/>
    <col min="104" max="105" width="10.77734375" customWidth="1"/>
  </cols>
  <sheetData>
    <row r="1" spans="1:117" x14ac:dyDescent="0.3">
      <c r="B1" s="87" t="s">
        <v>295</v>
      </c>
      <c r="C1" s="88"/>
    </row>
    <row r="2" spans="1:117" ht="16.8" customHeight="1" thickBot="1" x14ac:dyDescent="0.35">
      <c r="B2" s="89"/>
      <c r="C2" s="89"/>
    </row>
    <row r="3" spans="1:117" ht="21" customHeight="1" x14ac:dyDescent="0.3">
      <c r="B3" s="89"/>
      <c r="C3" s="89"/>
      <c r="D3" s="91" t="s">
        <v>0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3"/>
      <c r="AH3" s="107" t="s">
        <v>1</v>
      </c>
      <c r="AI3" s="107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9"/>
      <c r="BT3" s="178" t="s">
        <v>2</v>
      </c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1"/>
      <c r="CL3" s="75" t="s">
        <v>3</v>
      </c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7"/>
    </row>
    <row r="4" spans="1:117" s="2" customFormat="1" ht="46.2" customHeight="1" x14ac:dyDescent="0.3">
      <c r="B4" s="90"/>
      <c r="C4" s="90"/>
      <c r="D4" s="78" t="s">
        <v>4</v>
      </c>
      <c r="E4" s="79"/>
      <c r="F4" s="80"/>
      <c r="G4" s="80" t="s">
        <v>5</v>
      </c>
      <c r="H4" s="80"/>
      <c r="I4" s="80"/>
      <c r="J4" s="80" t="s">
        <v>6</v>
      </c>
      <c r="K4" s="80"/>
      <c r="L4" s="80"/>
      <c r="M4" s="80"/>
      <c r="N4" s="80"/>
      <c r="O4" s="80" t="s">
        <v>7</v>
      </c>
      <c r="P4" s="80"/>
      <c r="Q4" s="80"/>
      <c r="R4" s="80"/>
      <c r="S4" s="80"/>
      <c r="T4" s="80" t="s">
        <v>8</v>
      </c>
      <c r="U4" s="80"/>
      <c r="V4" s="80"/>
      <c r="W4" s="80"/>
      <c r="X4" s="80"/>
      <c r="Y4" s="80" t="s">
        <v>9</v>
      </c>
      <c r="Z4" s="80"/>
      <c r="AA4" s="80"/>
      <c r="AB4" s="124" t="s">
        <v>309</v>
      </c>
      <c r="AC4" s="126" t="s">
        <v>310</v>
      </c>
      <c r="AD4" s="124" t="s">
        <v>322</v>
      </c>
      <c r="AE4" s="126" t="s">
        <v>307</v>
      </c>
      <c r="AF4" s="96" t="s">
        <v>308</v>
      </c>
      <c r="AG4" s="99" t="s">
        <v>294</v>
      </c>
      <c r="AH4" s="85" t="s">
        <v>10</v>
      </c>
      <c r="AI4" s="85"/>
      <c r="AJ4" s="86"/>
      <c r="AK4" s="86" t="s">
        <v>11</v>
      </c>
      <c r="AL4" s="86"/>
      <c r="AM4" s="86"/>
      <c r="AN4" s="86"/>
      <c r="AO4" s="86"/>
      <c r="AP4" s="86"/>
      <c r="AQ4" s="86"/>
      <c r="AR4" s="86"/>
      <c r="AS4" s="86"/>
      <c r="AT4" s="86" t="s">
        <v>12</v>
      </c>
      <c r="AU4" s="86"/>
      <c r="AV4" s="86"/>
      <c r="AW4" s="86"/>
      <c r="AX4" s="86"/>
      <c r="AY4" s="86"/>
      <c r="AZ4" s="86"/>
      <c r="BA4" s="86" t="s">
        <v>13</v>
      </c>
      <c r="BB4" s="86"/>
      <c r="BC4" s="86"/>
      <c r="BD4" s="86"/>
      <c r="BE4" s="86"/>
      <c r="BF4" s="86" t="s">
        <v>14</v>
      </c>
      <c r="BG4" s="86"/>
      <c r="BH4" s="86"/>
      <c r="BI4" s="86" t="s">
        <v>15</v>
      </c>
      <c r="BJ4" s="86"/>
      <c r="BK4" s="86"/>
      <c r="BL4" s="86"/>
      <c r="BM4" s="86"/>
      <c r="BN4" s="144" t="s">
        <v>309</v>
      </c>
      <c r="BO4" s="157" t="s">
        <v>321</v>
      </c>
      <c r="BP4" s="144" t="s">
        <v>322</v>
      </c>
      <c r="BQ4" s="157" t="s">
        <v>307</v>
      </c>
      <c r="BR4" s="144" t="s">
        <v>308</v>
      </c>
      <c r="BS4" s="160" t="s">
        <v>294</v>
      </c>
      <c r="BT4" s="177" t="s">
        <v>16</v>
      </c>
      <c r="BU4" s="106"/>
      <c r="BV4" s="106"/>
      <c r="BW4" s="81"/>
      <c r="BX4" s="81"/>
      <c r="BY4" s="81"/>
      <c r="BZ4" s="81"/>
      <c r="CA4" s="81" t="s">
        <v>17</v>
      </c>
      <c r="CB4" s="81"/>
      <c r="CC4" s="81"/>
      <c r="CD4" s="81"/>
      <c r="CE4" s="81"/>
      <c r="CF4" s="138" t="s">
        <v>309</v>
      </c>
      <c r="CG4" s="138" t="s">
        <v>321</v>
      </c>
      <c r="CH4" s="138" t="s">
        <v>322</v>
      </c>
      <c r="CI4" s="138" t="s">
        <v>307</v>
      </c>
      <c r="CJ4" s="138" t="s">
        <v>308</v>
      </c>
      <c r="CK4" s="154" t="s">
        <v>294</v>
      </c>
      <c r="CL4" s="82" t="s">
        <v>18</v>
      </c>
      <c r="CM4" s="83"/>
      <c r="CN4" s="83"/>
      <c r="CO4" s="84"/>
      <c r="CP4" s="84"/>
      <c r="CQ4" s="84" t="s">
        <v>19</v>
      </c>
      <c r="CR4" s="84"/>
      <c r="CS4" s="84"/>
      <c r="CT4" s="151" t="s">
        <v>309</v>
      </c>
      <c r="CU4" s="151" t="s">
        <v>321</v>
      </c>
      <c r="CV4" s="151" t="s">
        <v>322</v>
      </c>
      <c r="CW4" s="151" t="s">
        <v>327</v>
      </c>
      <c r="CX4" s="151" t="s">
        <v>308</v>
      </c>
      <c r="CY4" s="148" t="s">
        <v>294</v>
      </c>
    </row>
    <row r="5" spans="1:117" s="1" customFormat="1" ht="72.599999999999994" customHeight="1" x14ac:dyDescent="0.3">
      <c r="A5" s="133" t="s">
        <v>323</v>
      </c>
      <c r="B5" s="133" t="s">
        <v>20</v>
      </c>
      <c r="C5" s="135" t="s">
        <v>21</v>
      </c>
      <c r="D5" s="94" t="s">
        <v>296</v>
      </c>
      <c r="E5" s="95"/>
      <c r="F5" s="6" t="s">
        <v>22</v>
      </c>
      <c r="G5" s="94" t="s">
        <v>297</v>
      </c>
      <c r="H5" s="119"/>
      <c r="I5" s="6" t="s">
        <v>22</v>
      </c>
      <c r="J5" s="104" t="s">
        <v>303</v>
      </c>
      <c r="K5" s="123"/>
      <c r="L5" s="104" t="s">
        <v>300</v>
      </c>
      <c r="M5" s="123"/>
      <c r="N5" s="6" t="s">
        <v>22</v>
      </c>
      <c r="O5" s="104" t="s">
        <v>301</v>
      </c>
      <c r="P5" s="123"/>
      <c r="Q5" s="104" t="s">
        <v>302</v>
      </c>
      <c r="R5" s="123"/>
      <c r="S5" s="6" t="s">
        <v>22</v>
      </c>
      <c r="T5" s="104" t="s">
        <v>305</v>
      </c>
      <c r="U5" s="123"/>
      <c r="V5" s="104" t="s">
        <v>304</v>
      </c>
      <c r="W5" s="123"/>
      <c r="X5" s="6" t="s">
        <v>22</v>
      </c>
      <c r="Y5" s="104" t="s">
        <v>306</v>
      </c>
      <c r="Z5" s="105"/>
      <c r="AA5" s="6" t="s">
        <v>22</v>
      </c>
      <c r="AB5" s="125"/>
      <c r="AC5" s="127"/>
      <c r="AD5" s="125"/>
      <c r="AE5" s="127"/>
      <c r="AF5" s="97"/>
      <c r="AG5" s="100"/>
      <c r="AH5" s="129" t="s">
        <v>311</v>
      </c>
      <c r="AI5" s="103"/>
      <c r="AJ5" s="5" t="s">
        <v>22</v>
      </c>
      <c r="AK5" s="102" t="s">
        <v>312</v>
      </c>
      <c r="AL5" s="103"/>
      <c r="AM5" s="102" t="s">
        <v>313</v>
      </c>
      <c r="AN5" s="103"/>
      <c r="AO5" s="102" t="s">
        <v>314</v>
      </c>
      <c r="AP5" s="105"/>
      <c r="AQ5" s="102" t="s">
        <v>315</v>
      </c>
      <c r="AR5" s="105"/>
      <c r="AS5" s="5" t="s">
        <v>22</v>
      </c>
      <c r="AT5" s="131" t="s">
        <v>317</v>
      </c>
      <c r="AU5" s="105"/>
      <c r="AV5" s="131" t="s">
        <v>23</v>
      </c>
      <c r="AW5" s="105"/>
      <c r="AX5" s="131" t="s">
        <v>24</v>
      </c>
      <c r="AY5" s="105"/>
      <c r="AZ5" s="5" t="s">
        <v>22</v>
      </c>
      <c r="BA5" s="131" t="s">
        <v>25</v>
      </c>
      <c r="BB5" s="105"/>
      <c r="BC5" s="131" t="s">
        <v>26</v>
      </c>
      <c r="BD5" s="105"/>
      <c r="BE5" s="5" t="s">
        <v>22</v>
      </c>
      <c r="BF5" s="131" t="s">
        <v>318</v>
      </c>
      <c r="BG5" s="105"/>
      <c r="BH5" s="5" t="s">
        <v>22</v>
      </c>
      <c r="BI5" s="131" t="s">
        <v>319</v>
      </c>
      <c r="BJ5" s="105"/>
      <c r="BK5" s="131" t="s">
        <v>320</v>
      </c>
      <c r="BL5" s="105"/>
      <c r="BM5" s="5" t="s">
        <v>22</v>
      </c>
      <c r="BN5" s="145"/>
      <c r="BO5" s="158"/>
      <c r="BP5" s="145"/>
      <c r="BQ5" s="158"/>
      <c r="BR5" s="152"/>
      <c r="BS5" s="149"/>
      <c r="BT5" s="143" t="s">
        <v>27</v>
      </c>
      <c r="BU5" s="105"/>
      <c r="BV5" s="132" t="s">
        <v>28</v>
      </c>
      <c r="BW5" s="105"/>
      <c r="BX5" s="132" t="s">
        <v>29</v>
      </c>
      <c r="BY5" s="105"/>
      <c r="BZ5" s="30" t="s">
        <v>22</v>
      </c>
      <c r="CA5" s="132" t="s">
        <v>30</v>
      </c>
      <c r="CB5" s="105"/>
      <c r="CC5" s="132" t="s">
        <v>31</v>
      </c>
      <c r="CD5" s="105"/>
      <c r="CE5" s="30" t="s">
        <v>22</v>
      </c>
      <c r="CF5" s="139"/>
      <c r="CG5" s="139"/>
      <c r="CH5" s="139"/>
      <c r="CI5" s="139"/>
      <c r="CJ5" s="141"/>
      <c r="CK5" s="155"/>
      <c r="CL5" s="137" t="s">
        <v>324</v>
      </c>
      <c r="CM5" s="105"/>
      <c r="CN5" s="147" t="s">
        <v>325</v>
      </c>
      <c r="CO5" s="105"/>
      <c r="CP5" s="4" t="s">
        <v>22</v>
      </c>
      <c r="CQ5" s="147" t="s">
        <v>326</v>
      </c>
      <c r="CR5" s="105"/>
      <c r="CS5" s="4" t="s">
        <v>22</v>
      </c>
      <c r="CT5" s="145"/>
      <c r="CU5" s="145"/>
      <c r="CV5" s="145"/>
      <c r="CW5" s="145"/>
      <c r="CX5" s="152"/>
      <c r="CY5" s="149"/>
    </row>
    <row r="6" spans="1:117" s="3" customFormat="1" x14ac:dyDescent="0.3">
      <c r="A6" s="134"/>
      <c r="B6" s="134"/>
      <c r="C6" s="136"/>
      <c r="D6" s="7" t="s">
        <v>299</v>
      </c>
      <c r="E6" s="8">
        <v>1</v>
      </c>
      <c r="F6" s="9">
        <f>C6+E6</f>
        <v>1</v>
      </c>
      <c r="G6" s="7" t="s">
        <v>299</v>
      </c>
      <c r="H6" s="8">
        <v>1</v>
      </c>
      <c r="I6" s="9">
        <f>H6</f>
        <v>1</v>
      </c>
      <c r="J6" s="7" t="s">
        <v>298</v>
      </c>
      <c r="K6" s="8">
        <v>0.3</v>
      </c>
      <c r="L6" s="7" t="s">
        <v>299</v>
      </c>
      <c r="M6" s="8">
        <v>0.7</v>
      </c>
      <c r="N6" s="9">
        <f>K6+M6</f>
        <v>1</v>
      </c>
      <c r="O6" s="7" t="s">
        <v>299</v>
      </c>
      <c r="P6" s="8">
        <v>0.9</v>
      </c>
      <c r="Q6" s="7" t="s">
        <v>298</v>
      </c>
      <c r="R6" s="8">
        <v>0.1</v>
      </c>
      <c r="S6" s="9">
        <f>P6+R6</f>
        <v>1</v>
      </c>
      <c r="T6" s="7" t="s">
        <v>299</v>
      </c>
      <c r="U6" s="8">
        <v>0.1</v>
      </c>
      <c r="V6" s="7" t="s">
        <v>299</v>
      </c>
      <c r="W6" s="8">
        <v>0.9</v>
      </c>
      <c r="X6" s="9">
        <f>U6+W6</f>
        <v>1</v>
      </c>
      <c r="Y6" s="7" t="s">
        <v>299</v>
      </c>
      <c r="Z6" s="8">
        <v>1</v>
      </c>
      <c r="AA6" s="9">
        <f>Z6</f>
        <v>1</v>
      </c>
      <c r="AB6" s="98"/>
      <c r="AC6" s="98"/>
      <c r="AD6" s="98"/>
      <c r="AE6" s="98"/>
      <c r="AF6" s="98"/>
      <c r="AG6" s="101"/>
      <c r="AH6" s="27" t="s">
        <v>299</v>
      </c>
      <c r="AI6" s="28">
        <v>1</v>
      </c>
      <c r="AJ6" s="29">
        <f>AG6+AI6</f>
        <v>1</v>
      </c>
      <c r="AK6" s="27" t="s">
        <v>316</v>
      </c>
      <c r="AL6" s="28">
        <v>0.1</v>
      </c>
      <c r="AM6" s="27" t="s">
        <v>299</v>
      </c>
      <c r="AN6" s="28">
        <v>0.5</v>
      </c>
      <c r="AO6" s="27" t="s">
        <v>299</v>
      </c>
      <c r="AP6" s="28">
        <v>0.3</v>
      </c>
      <c r="AQ6" s="27" t="s">
        <v>299</v>
      </c>
      <c r="AR6" s="28">
        <v>0.1</v>
      </c>
      <c r="AS6" s="29">
        <f>AL6+AN6+AP6+AR6</f>
        <v>0.99999999999999989</v>
      </c>
      <c r="AT6" s="27" t="s">
        <v>299</v>
      </c>
      <c r="AU6" s="28">
        <v>0.3</v>
      </c>
      <c r="AV6" s="27" t="s">
        <v>299</v>
      </c>
      <c r="AW6" s="28">
        <v>0.4</v>
      </c>
      <c r="AX6" s="27" t="s">
        <v>299</v>
      </c>
      <c r="AY6" s="28">
        <v>0.3</v>
      </c>
      <c r="AZ6" s="29">
        <f>AU6+AW6+AY6</f>
        <v>1</v>
      </c>
      <c r="BA6" s="27" t="s">
        <v>299</v>
      </c>
      <c r="BB6" s="28">
        <v>0.7</v>
      </c>
      <c r="BC6" s="27" t="s">
        <v>299</v>
      </c>
      <c r="BD6" s="28">
        <v>0.3</v>
      </c>
      <c r="BE6" s="29">
        <f>BB6+BD6</f>
        <v>1</v>
      </c>
      <c r="BF6" s="27" t="s">
        <v>299</v>
      </c>
      <c r="BG6" s="28">
        <v>1</v>
      </c>
      <c r="BH6" s="29">
        <f>BG6</f>
        <v>1</v>
      </c>
      <c r="BI6" s="27" t="s">
        <v>299</v>
      </c>
      <c r="BJ6" s="28">
        <v>0.6</v>
      </c>
      <c r="BK6" s="27" t="s">
        <v>299</v>
      </c>
      <c r="BL6" s="28">
        <v>0.4</v>
      </c>
      <c r="BM6" s="29">
        <f>BJ6+BL6</f>
        <v>1</v>
      </c>
      <c r="BN6" s="146"/>
      <c r="BO6" s="159"/>
      <c r="BP6" s="146"/>
      <c r="BQ6" s="159"/>
      <c r="BR6" s="153"/>
      <c r="BS6" s="150"/>
      <c r="BT6" s="58" t="s">
        <v>316</v>
      </c>
      <c r="BU6" s="33">
        <v>0.2</v>
      </c>
      <c r="BV6" s="32" t="s">
        <v>299</v>
      </c>
      <c r="BW6" s="33">
        <v>0.4</v>
      </c>
      <c r="BX6" s="32" t="s">
        <v>298</v>
      </c>
      <c r="BY6" s="33">
        <v>0.4</v>
      </c>
      <c r="BZ6" s="31">
        <f>BU6+BW6+BY6</f>
        <v>1</v>
      </c>
      <c r="CA6" s="32" t="s">
        <v>299</v>
      </c>
      <c r="CB6" s="33">
        <v>0.5</v>
      </c>
      <c r="CC6" s="32" t="s">
        <v>299</v>
      </c>
      <c r="CD6" s="33">
        <v>0.5</v>
      </c>
      <c r="CE6" s="31">
        <f>CB6+CD6</f>
        <v>1</v>
      </c>
      <c r="CF6" s="140"/>
      <c r="CG6" s="140"/>
      <c r="CH6" s="140"/>
      <c r="CI6" s="140"/>
      <c r="CJ6" s="142"/>
      <c r="CK6" s="156"/>
      <c r="CL6" s="59" t="s">
        <v>299</v>
      </c>
      <c r="CM6" s="37">
        <v>0.7</v>
      </c>
      <c r="CN6" s="36" t="s">
        <v>299</v>
      </c>
      <c r="CO6" s="37">
        <v>0.3</v>
      </c>
      <c r="CP6" s="35">
        <f>CM6+CO6</f>
        <v>1</v>
      </c>
      <c r="CQ6" s="36" t="s">
        <v>299</v>
      </c>
      <c r="CR6" s="37">
        <v>1</v>
      </c>
      <c r="CS6" s="35">
        <f>CR6</f>
        <v>1</v>
      </c>
      <c r="CT6" s="146"/>
      <c r="CU6" s="146"/>
      <c r="CV6" s="146"/>
      <c r="CW6" s="146"/>
      <c r="CX6" s="153"/>
      <c r="CY6" s="15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</row>
    <row r="7" spans="1:117" s="3" customFormat="1" x14ac:dyDescent="0.3">
      <c r="A7" s="34">
        <v>1</v>
      </c>
      <c r="B7" s="20" t="s">
        <v>32</v>
      </c>
      <c r="C7" s="20" t="s">
        <v>33</v>
      </c>
      <c r="D7" s="120" t="str">
        <f>'Notas del Moodle'!C8</f>
        <v>-</v>
      </c>
      <c r="E7" s="174"/>
      <c r="F7" s="11" t="str">
        <f>'Notas del Moodle'!D8</f>
        <v>-</v>
      </c>
      <c r="G7" s="120" t="str">
        <f>'Notas del Moodle'!E8</f>
        <v>-</v>
      </c>
      <c r="H7" s="174"/>
      <c r="I7" s="11" t="str">
        <f>'Notas del Moodle'!F8</f>
        <v>-</v>
      </c>
      <c r="J7" s="120" t="str">
        <f>'Notas del Moodle'!G8</f>
        <v>-</v>
      </c>
      <c r="K7" s="174"/>
      <c r="L7" s="120" t="str">
        <f>'Notas del Moodle'!H8</f>
        <v>-</v>
      </c>
      <c r="M7" s="174"/>
      <c r="N7" s="11" t="str">
        <f>'Notas del Moodle'!I8</f>
        <v>-</v>
      </c>
      <c r="O7" s="120" t="str">
        <f>'Notas del Moodle'!J8</f>
        <v>-</v>
      </c>
      <c r="P7" s="174"/>
      <c r="Q7" s="120" t="str">
        <f>'Notas del Moodle'!K8</f>
        <v>-</v>
      </c>
      <c r="R7" s="174"/>
      <c r="S7" s="11" t="str">
        <f>'Notas del Moodle'!L8</f>
        <v>-</v>
      </c>
      <c r="T7" s="120" t="str">
        <f>'Notas del Moodle'!M8</f>
        <v>-</v>
      </c>
      <c r="U7" s="174"/>
      <c r="V7" s="120" t="str">
        <f>'Notas del Moodle'!N8</f>
        <v>-</v>
      </c>
      <c r="W7" s="174"/>
      <c r="X7" s="11" t="str">
        <f>'Notas del Moodle'!O9</f>
        <v>1,94</v>
      </c>
      <c r="Y7" s="120" t="str">
        <f>'Notas del Moodle'!P8</f>
        <v>-</v>
      </c>
      <c r="Z7" s="174"/>
      <c r="AA7" s="11" t="str">
        <f>'Notas del Moodle'!Q8</f>
        <v>-</v>
      </c>
      <c r="AB7" s="11">
        <f>'Notas del Moodle'!R8</f>
        <v>0</v>
      </c>
      <c r="AC7" s="11" t="str">
        <f>'Notas del Moodle'!S8</f>
        <v>-</v>
      </c>
      <c r="AD7" s="11" t="str">
        <f>'Notas del Moodle'!T8</f>
        <v>-</v>
      </c>
      <c r="AE7" s="11" t="str">
        <f>'Notas del Moodle'!U8</f>
        <v>-</v>
      </c>
      <c r="AF7" s="61" t="s">
        <v>35</v>
      </c>
      <c r="AG7" s="12" t="str">
        <f>'Notas del Moodle'!W8</f>
        <v>CV</v>
      </c>
      <c r="AH7" s="130" t="str">
        <f>'Notas del Moodle'!X8</f>
        <v>-</v>
      </c>
      <c r="AI7" s="174"/>
      <c r="AJ7" s="11" t="str">
        <f>'Notas del Moodle'!Y8</f>
        <v>-</v>
      </c>
      <c r="AK7" s="120" t="str">
        <f>'Notas del Moodle'!Z8</f>
        <v>-</v>
      </c>
      <c r="AL7" s="174"/>
      <c r="AM7" s="120" t="str">
        <f>'Notas del Moodle'!AA8</f>
        <v>-</v>
      </c>
      <c r="AN7" s="174"/>
      <c r="AO7" s="120" t="str">
        <f>'Notas del Moodle'!AB8</f>
        <v>-</v>
      </c>
      <c r="AP7" s="174"/>
      <c r="AQ7" s="120" t="str">
        <f>'Notas del Moodle'!AC8</f>
        <v>-</v>
      </c>
      <c r="AR7" s="174"/>
      <c r="AS7" s="11" t="str">
        <f>'Notas del Moodle'!AD8</f>
        <v>-</v>
      </c>
      <c r="AT7" s="120" t="str">
        <f>'Notas del Moodle'!AE8</f>
        <v>-</v>
      </c>
      <c r="AU7" s="174"/>
      <c r="AV7" s="120" t="str">
        <f>'Notas del Moodle'!AF8</f>
        <v>-</v>
      </c>
      <c r="AW7" s="174"/>
      <c r="AX7" s="120" t="str">
        <f>'Notas del Moodle'!AG8</f>
        <v>-</v>
      </c>
      <c r="AY7" s="174"/>
      <c r="AZ7" s="11" t="str">
        <f>'Notas del Moodle'!AH8</f>
        <v>-</v>
      </c>
      <c r="BA7" s="120" t="str">
        <f>'Notas del Moodle'!AI8</f>
        <v>-</v>
      </c>
      <c r="BB7" s="174"/>
      <c r="BC7" s="120" t="str">
        <f>'Notas del Moodle'!AJ8</f>
        <v>-</v>
      </c>
      <c r="BD7" s="174"/>
      <c r="BE7" s="11" t="str">
        <f>'Notas del Moodle'!AK8</f>
        <v>-</v>
      </c>
      <c r="BF7" s="120" t="str">
        <f>'Notas del Moodle'!AL8</f>
        <v>-</v>
      </c>
      <c r="BG7" s="174"/>
      <c r="BH7" s="11" t="str">
        <f>'Notas del Moodle'!AM8</f>
        <v>-</v>
      </c>
      <c r="BI7" s="120" t="str">
        <f>'Notas del Moodle'!AN8</f>
        <v>-</v>
      </c>
      <c r="BJ7" s="174"/>
      <c r="BK7" s="120" t="str">
        <f>'Notas del Moodle'!AO8</f>
        <v>-</v>
      </c>
      <c r="BL7" s="174"/>
      <c r="BM7" s="11" t="str">
        <f>'Notas del Moodle'!AP8</f>
        <v>-</v>
      </c>
      <c r="BN7" s="11">
        <f>'Notas del Moodle'!AQ8</f>
        <v>0</v>
      </c>
      <c r="BO7" s="11" t="str">
        <f>'Notas del Moodle'!AR8</f>
        <v>-</v>
      </c>
      <c r="BP7" s="11" t="str">
        <f>'Notas del Moodle'!AS8</f>
        <v>-</v>
      </c>
      <c r="BQ7" s="11" t="str">
        <f>'Notas del Moodle'!AT8</f>
        <v>-</v>
      </c>
      <c r="BR7" s="61" t="s">
        <v>35</v>
      </c>
      <c r="BS7" s="12" t="str">
        <f>'Notas del Moodle'!AV8</f>
        <v>CV</v>
      </c>
      <c r="BT7" s="130" t="str">
        <f>'Notas del Moodle'!AW8</f>
        <v>-</v>
      </c>
      <c r="BU7" s="174"/>
      <c r="BV7" s="120" t="str">
        <f>'Notas del Moodle'!AX8</f>
        <v>-</v>
      </c>
      <c r="BW7" s="105"/>
      <c r="BX7" s="120" t="str">
        <f>'Notas del Moodle'!AY8</f>
        <v>-</v>
      </c>
      <c r="BY7" s="105"/>
      <c r="BZ7" s="11" t="str">
        <f>'Notas del Moodle'!AZ8</f>
        <v>-</v>
      </c>
      <c r="CA7" s="120" t="str">
        <f>'Notas del Moodle'!BA8</f>
        <v>-</v>
      </c>
      <c r="CB7" s="105"/>
      <c r="CC7" s="120" t="str">
        <f>'Notas del Moodle'!BB8</f>
        <v>-</v>
      </c>
      <c r="CD7" s="105"/>
      <c r="CE7" s="11" t="str">
        <f>'Notas del Moodle'!BC8</f>
        <v>-</v>
      </c>
      <c r="CF7" s="11">
        <f>'Notas del Moodle'!BD8</f>
        <v>0</v>
      </c>
      <c r="CG7" s="11" t="str">
        <f>'Notas del Moodle'!BE8</f>
        <v>-</v>
      </c>
      <c r="CH7" s="11" t="str">
        <f>'Notas del Moodle'!BF8</f>
        <v>-</v>
      </c>
      <c r="CI7" s="11" t="str">
        <f>'Notas del Moodle'!BG8</f>
        <v>-</v>
      </c>
      <c r="CJ7" s="61" t="s">
        <v>35</v>
      </c>
      <c r="CK7" s="12" t="str">
        <f>'Notas del Moodle'!BI8</f>
        <v>CV</v>
      </c>
      <c r="CL7" s="130" t="str">
        <f>'Notas del Moodle'!BJ8</f>
        <v>-</v>
      </c>
      <c r="CM7" s="105"/>
      <c r="CN7" s="120" t="str">
        <f>'Notas del Moodle'!BK8</f>
        <v>-</v>
      </c>
      <c r="CO7" s="105"/>
      <c r="CP7" s="11" t="str">
        <f>'Notas del Moodle'!BL8</f>
        <v>-</v>
      </c>
      <c r="CQ7" s="120" t="str">
        <f>'Notas del Moodle'!BM8</f>
        <v>-</v>
      </c>
      <c r="CR7" s="105"/>
      <c r="CS7" s="11" t="str">
        <f>'Notas del Moodle'!BN8</f>
        <v>-</v>
      </c>
      <c r="CT7" s="11">
        <f>'Notas del Moodle'!BO8</f>
        <v>0</v>
      </c>
      <c r="CU7" s="11" t="str">
        <f>'Notas del Moodle'!BP8</f>
        <v>-</v>
      </c>
      <c r="CV7" s="11" t="str">
        <f>'Notas del Moodle'!BQ8</f>
        <v>-</v>
      </c>
      <c r="CW7" s="11" t="str">
        <f>'Notas del Moodle'!BR8</f>
        <v>-</v>
      </c>
      <c r="CX7" s="61" t="s">
        <v>35</v>
      </c>
      <c r="CY7" s="12" t="str">
        <f>'Notas del Moodle'!BT8</f>
        <v>CV</v>
      </c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</row>
    <row r="8" spans="1:117" s="3" customFormat="1" x14ac:dyDescent="0.3">
      <c r="A8" s="34">
        <v>2</v>
      </c>
      <c r="B8" s="21" t="s">
        <v>36</v>
      </c>
      <c r="C8" s="18" t="s">
        <v>37</v>
      </c>
      <c r="D8" s="115">
        <f>'Notas del Moodle'!C9</f>
        <v>10</v>
      </c>
      <c r="E8" s="175"/>
      <c r="F8" s="13" t="str">
        <f>'Notas del Moodle'!D9</f>
        <v>1,2</v>
      </c>
      <c r="G8" s="121">
        <f>'Notas del Moodle'!E9</f>
        <v>9</v>
      </c>
      <c r="H8" s="175"/>
      <c r="I8" s="13" t="str">
        <f>'Notas del Moodle'!F9</f>
        <v>1,17</v>
      </c>
      <c r="J8" s="121" t="str">
        <f>'Notas del Moodle'!G9</f>
        <v>2,7</v>
      </c>
      <c r="K8" s="175"/>
      <c r="L8" s="121" t="str">
        <f>'Notas del Moodle'!H9</f>
        <v>6,5</v>
      </c>
      <c r="M8" s="175"/>
      <c r="N8" s="13" t="str">
        <f>'Notas del Moodle'!I9</f>
        <v>1,38</v>
      </c>
      <c r="O8" s="121">
        <f>'Notas del Moodle'!J9</f>
        <v>4</v>
      </c>
      <c r="P8" s="175"/>
      <c r="Q8" s="121">
        <f>'Notas del Moodle'!K9</f>
        <v>1</v>
      </c>
      <c r="R8" s="175"/>
      <c r="S8" s="13" t="str">
        <f>'Notas del Moodle'!L9</f>
        <v>0,75</v>
      </c>
      <c r="T8" s="121" t="str">
        <f>'Notas del Moodle'!M9</f>
        <v>0,7</v>
      </c>
      <c r="U8" s="175"/>
      <c r="V8" s="121">
        <f>'Notas del Moodle'!N9</f>
        <v>9</v>
      </c>
      <c r="W8" s="175"/>
      <c r="X8" s="13" t="str">
        <f>'Notas del Moodle'!O10</f>
        <v>1,98</v>
      </c>
      <c r="Y8" s="121" t="str">
        <f>'Notas del Moodle'!P9</f>
        <v>9,5</v>
      </c>
      <c r="Z8" s="175"/>
      <c r="AA8" s="13" t="str">
        <f>'Notas del Moodle'!Q9</f>
        <v>2,38</v>
      </c>
      <c r="AB8" s="13" t="str">
        <f>'Notas del Moodle'!R9</f>
        <v>6,17</v>
      </c>
      <c r="AC8" s="13" t="str">
        <f>'Notas del Moodle'!S9</f>
        <v>-</v>
      </c>
      <c r="AD8" s="13">
        <f>'Notas del Moodle'!T9</f>
        <v>5</v>
      </c>
      <c r="AE8" s="13" t="str">
        <f>'Notas del Moodle'!U9</f>
        <v>-</v>
      </c>
      <c r="AF8" s="24" t="str">
        <f>'Notas del Moodle'!V9</f>
        <v>7,67</v>
      </c>
      <c r="AG8" s="14"/>
      <c r="AH8" s="115" t="str">
        <f>'Notas del Moodle'!X9</f>
        <v>9,5</v>
      </c>
      <c r="AI8" s="175"/>
      <c r="AJ8" s="13" t="str">
        <f>'Notas del Moodle'!Y9</f>
        <v>0,95</v>
      </c>
      <c r="AK8" s="121">
        <f>'Notas del Moodle'!Z9</f>
        <v>1</v>
      </c>
      <c r="AL8" s="175"/>
      <c r="AM8" s="121" t="str">
        <f>'Notas del Moodle'!AA9</f>
        <v>3,75</v>
      </c>
      <c r="AN8" s="175"/>
      <c r="AO8" s="121">
        <f>'Notas del Moodle'!AB9</f>
        <v>3</v>
      </c>
      <c r="AP8" s="175"/>
      <c r="AQ8" s="121" t="str">
        <f>'Notas del Moodle'!AC9</f>
        <v>0,8</v>
      </c>
      <c r="AR8" s="175"/>
      <c r="AS8" s="13" t="str">
        <f>'Notas del Moodle'!AD9</f>
        <v>2,99</v>
      </c>
      <c r="AT8" s="121">
        <f>'Notas del Moodle'!AE9</f>
        <v>3</v>
      </c>
      <c r="AU8" s="175"/>
      <c r="AV8" s="121">
        <f>'Notas del Moodle'!AF9</f>
        <v>4</v>
      </c>
      <c r="AW8" s="175"/>
      <c r="AX8" s="121" t="str">
        <f>'Notas del Moodle'!AG9</f>
        <v>1,5</v>
      </c>
      <c r="AY8" s="175"/>
      <c r="AZ8" s="13" t="str">
        <f>'Notas del Moodle'!AH9</f>
        <v>2,13</v>
      </c>
      <c r="BA8" s="121">
        <f>'Notas del Moodle'!AI9</f>
        <v>7</v>
      </c>
      <c r="BB8" s="175"/>
      <c r="BC8" s="172" t="str">
        <f>'Notas del Moodle'!AJ9</f>
        <v>2,67</v>
      </c>
      <c r="BD8" s="173"/>
      <c r="BE8" s="13" t="str">
        <f>'Notas del Moodle'!AK9</f>
        <v>1,93</v>
      </c>
      <c r="BF8" s="121">
        <f>'Notas del Moodle'!AL9</f>
        <v>9</v>
      </c>
      <c r="BG8" s="175"/>
      <c r="BH8" s="13" t="str">
        <f>'Notas del Moodle'!AM9</f>
        <v>0,45</v>
      </c>
      <c r="BI8" s="121">
        <f>'Notas del Moodle'!AN9</f>
        <v>6</v>
      </c>
      <c r="BJ8" s="175"/>
      <c r="BK8" s="121">
        <f>'Notas del Moodle'!AO9</f>
        <v>2</v>
      </c>
      <c r="BL8" s="175"/>
      <c r="BM8" s="13" t="str">
        <f>'Notas del Moodle'!AP9</f>
        <v>0,4</v>
      </c>
      <c r="BN8" s="13" t="str">
        <f>'Notas del Moodle'!AQ9</f>
        <v>6,2</v>
      </c>
      <c r="BO8" s="13" t="str">
        <f>'Notas del Moodle'!AR9</f>
        <v>-</v>
      </c>
      <c r="BP8" s="13" t="str">
        <f>'Notas del Moodle'!AS9</f>
        <v>7,5</v>
      </c>
      <c r="BQ8" s="13" t="str">
        <f>'Notas del Moodle'!AT9</f>
        <v>-</v>
      </c>
      <c r="BR8" s="24" t="str">
        <f>'Notas del Moodle'!AU9</f>
        <v>8,45</v>
      </c>
      <c r="BS8" s="13"/>
      <c r="BT8" s="115">
        <f>'Notas del Moodle'!AW9</f>
        <v>2</v>
      </c>
      <c r="BU8" s="175"/>
      <c r="BV8" s="121" t="str">
        <f>'Notas del Moodle'!AX9</f>
        <v>3,5</v>
      </c>
      <c r="BW8" s="175"/>
      <c r="BX8" s="121" t="str">
        <f>'Notas del Moodle'!AY9</f>
        <v>3,8</v>
      </c>
      <c r="BY8" s="175"/>
      <c r="BZ8" s="56" t="str">
        <f>'Notas del Moodle'!AZ9</f>
        <v>5,58</v>
      </c>
      <c r="CA8" s="121">
        <f>'Notas del Moodle'!BA9</f>
        <v>5</v>
      </c>
      <c r="CB8" s="175"/>
      <c r="CC8" s="121" t="str">
        <f>'Notas del Moodle'!BB9</f>
        <v>4,67</v>
      </c>
      <c r="CD8" s="175"/>
      <c r="CE8" s="13" t="str">
        <f>'Notas del Moodle'!BC9</f>
        <v>3,87</v>
      </c>
      <c r="CF8" s="56" t="str">
        <f>'Notas del Moodle'!BD9</f>
        <v>6,62</v>
      </c>
      <c r="CG8" s="56" t="str">
        <f>'Notas del Moodle'!BE9</f>
        <v>-</v>
      </c>
      <c r="CH8" s="56">
        <f>'Notas del Moodle'!BF9</f>
        <v>7</v>
      </c>
      <c r="CI8" s="56" t="str">
        <f>'Notas del Moodle'!BG9</f>
        <v>-</v>
      </c>
      <c r="CJ8" s="64" t="str">
        <f>'Notas del Moodle'!BH9</f>
        <v>8,72</v>
      </c>
      <c r="CK8" s="57"/>
      <c r="CL8" s="115">
        <f>'Notas del Moodle'!BJ9</f>
        <v>5</v>
      </c>
      <c r="CM8" s="175"/>
      <c r="CN8" s="121" t="str">
        <f>'Notas del Moodle'!BK9</f>
        <v>2,14</v>
      </c>
      <c r="CO8" s="175"/>
      <c r="CP8" s="56" t="str">
        <f>'Notas del Moodle'!BL9</f>
        <v>3,57</v>
      </c>
      <c r="CQ8" s="121" t="str">
        <f>'Notas del Moodle'!BM9</f>
        <v>9,75</v>
      </c>
      <c r="CR8" s="175"/>
      <c r="CS8" s="56" t="str">
        <f>'Notas del Moodle'!BN9</f>
        <v>4,88</v>
      </c>
      <c r="CT8" s="56" t="str">
        <f>'Notas del Moodle'!BO9</f>
        <v>5,92</v>
      </c>
      <c r="CU8" s="56" t="str">
        <f>'Notas del Moodle'!BP9</f>
        <v>-</v>
      </c>
      <c r="CV8" s="56">
        <f>'Notas del Moodle'!BQ9</f>
        <v>8</v>
      </c>
      <c r="CW8" s="56" t="s">
        <v>34</v>
      </c>
      <c r="CX8" s="64" t="str">
        <f>'Notas del Moodle'!BS9</f>
        <v>8,32</v>
      </c>
      <c r="CY8" s="57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</row>
    <row r="9" spans="1:117" s="3" customFormat="1" ht="14.4" customHeight="1" x14ac:dyDescent="0.3">
      <c r="A9" s="34">
        <v>3</v>
      </c>
      <c r="B9" s="20" t="s">
        <v>76</v>
      </c>
      <c r="C9" s="17" t="s">
        <v>77</v>
      </c>
      <c r="D9" s="112" t="str">
        <f>'Notas del Moodle'!C10</f>
        <v>8,5</v>
      </c>
      <c r="E9" s="105"/>
      <c r="F9" s="11" t="str">
        <f>'Notas del Moodle'!D10</f>
        <v>1,02</v>
      </c>
      <c r="G9" s="122">
        <f>'Notas del Moodle'!E10</f>
        <v>9</v>
      </c>
      <c r="H9" s="105"/>
      <c r="I9" s="11" t="str">
        <f>'Notas del Moodle'!F10</f>
        <v>1,17</v>
      </c>
      <c r="J9" s="122" t="str">
        <f>'Notas del Moodle'!G10</f>
        <v>2,4</v>
      </c>
      <c r="K9" s="105"/>
      <c r="L9" s="122" t="str">
        <f>'Notas del Moodle'!H10</f>
        <v>6,5</v>
      </c>
      <c r="M9" s="105"/>
      <c r="N9" s="11" t="str">
        <f>'Notas del Moodle'!I10</f>
        <v>1,34</v>
      </c>
      <c r="O9" s="122">
        <f>'Notas del Moodle'!J10</f>
        <v>4</v>
      </c>
      <c r="P9" s="105"/>
      <c r="Q9" s="122" t="str">
        <f>'Notas del Moodle'!K10</f>
        <v>0,8</v>
      </c>
      <c r="R9" s="105"/>
      <c r="S9" s="11" t="str">
        <f>'Notas del Moodle'!L10</f>
        <v>0,72</v>
      </c>
      <c r="T9" s="122" t="str">
        <f>'Notas del Moodle'!M10</f>
        <v>0,9</v>
      </c>
      <c r="U9" s="105"/>
      <c r="V9" s="122">
        <f>'Notas del Moodle'!N10</f>
        <v>9</v>
      </c>
      <c r="W9" s="105"/>
      <c r="X9" s="11" t="str">
        <f>'Notas del Moodle'!O11</f>
        <v>1,98</v>
      </c>
      <c r="Y9" s="122">
        <f>'Notas del Moodle'!P10</f>
        <v>10</v>
      </c>
      <c r="Z9" s="105"/>
      <c r="AA9" s="11" t="str">
        <f>'Notas del Moodle'!Q10</f>
        <v>2,5</v>
      </c>
      <c r="AB9" s="11" t="str">
        <f>'Notas del Moodle'!R10</f>
        <v>6,11</v>
      </c>
      <c r="AC9" s="11" t="str">
        <f>'Notas del Moodle'!S10</f>
        <v>-</v>
      </c>
      <c r="AD9" s="11" t="str">
        <f>'Notas del Moodle'!T10</f>
        <v>-</v>
      </c>
      <c r="AE9" s="11" t="str">
        <f>'Notas del Moodle'!U10</f>
        <v>-</v>
      </c>
      <c r="AF9" s="23" t="str">
        <f>'Notas del Moodle'!V10</f>
        <v>6,11</v>
      </c>
      <c r="AG9" s="12"/>
      <c r="AH9" s="112">
        <f>'Notas del Moodle'!X10</f>
        <v>10</v>
      </c>
      <c r="AI9" s="105"/>
      <c r="AJ9" s="11">
        <f>'Notas del Moodle'!Y10</f>
        <v>1</v>
      </c>
      <c r="AK9" s="122">
        <f>'Notas del Moodle'!Z10</f>
        <v>1</v>
      </c>
      <c r="AL9" s="105"/>
      <c r="AM9" s="122">
        <f>'Notas del Moodle'!AA10</f>
        <v>4</v>
      </c>
      <c r="AN9" s="105"/>
      <c r="AO9" s="122">
        <f>'Notas del Moodle'!AB10</f>
        <v>3</v>
      </c>
      <c r="AP9" s="105"/>
      <c r="AQ9" s="122" t="str">
        <f>'Notas del Moodle'!AC10</f>
        <v>0,8</v>
      </c>
      <c r="AR9" s="105"/>
      <c r="AS9" s="11" t="str">
        <f>'Notas del Moodle'!AD10</f>
        <v>3,08</v>
      </c>
      <c r="AT9" s="122">
        <f>'Notas del Moodle'!AE10</f>
        <v>3</v>
      </c>
      <c r="AU9" s="105"/>
      <c r="AV9" s="122">
        <f>'Notas del Moodle'!AF10</f>
        <v>4</v>
      </c>
      <c r="AW9" s="105"/>
      <c r="AX9" s="122">
        <f>'Notas del Moodle'!AG10</f>
        <v>2</v>
      </c>
      <c r="AY9" s="105"/>
      <c r="AZ9" s="11" t="str">
        <f>'Notas del Moodle'!AH10</f>
        <v>2,25</v>
      </c>
      <c r="BA9" s="122">
        <f>'Notas del Moodle'!AI10</f>
        <v>7</v>
      </c>
      <c r="BB9" s="105"/>
      <c r="BC9" s="122">
        <f>'Notas del Moodle'!AJ10</f>
        <v>2</v>
      </c>
      <c r="BD9" s="105"/>
      <c r="BE9" s="11" t="str">
        <f>'Notas del Moodle'!AK10</f>
        <v>1,8</v>
      </c>
      <c r="BF9" s="122" t="str">
        <f>'Notas del Moodle'!AL10</f>
        <v>9,5</v>
      </c>
      <c r="BG9" s="105"/>
      <c r="BH9" s="11" t="str">
        <f>'Notas del Moodle'!AM10</f>
        <v>0,48</v>
      </c>
      <c r="BI9" s="122">
        <f>'Notas del Moodle'!AN10</f>
        <v>6</v>
      </c>
      <c r="BJ9" s="105"/>
      <c r="BK9" s="122" t="str">
        <f>'Notas del Moodle'!AO10</f>
        <v>1,2</v>
      </c>
      <c r="BL9" s="105"/>
      <c r="BM9" s="11" t="str">
        <f>'Notas del Moodle'!AP10</f>
        <v>0,36</v>
      </c>
      <c r="BN9" s="11" t="str">
        <f>'Notas del Moodle'!AQ10</f>
        <v>6,28</v>
      </c>
      <c r="BO9" s="11" t="str">
        <f>'Notas del Moodle'!AR10</f>
        <v>-</v>
      </c>
      <c r="BP9" s="11" t="str">
        <f>'Notas del Moodle'!AS10</f>
        <v>-</v>
      </c>
      <c r="BQ9" s="11" t="str">
        <f>'Notas del Moodle'!AT10</f>
        <v>-</v>
      </c>
      <c r="BR9" s="23" t="str">
        <f>'Notas del Moodle'!AU10</f>
        <v>6,28</v>
      </c>
      <c r="BS9" s="12"/>
      <c r="BT9" s="112">
        <f>'Notas del Moodle'!AW10</f>
        <v>2</v>
      </c>
      <c r="BU9" s="105"/>
      <c r="BV9" s="122">
        <f>'Notas del Moodle'!AX10</f>
        <v>4</v>
      </c>
      <c r="BW9" s="105"/>
      <c r="BX9" s="122" t="str">
        <f>'Notas del Moodle'!AY10</f>
        <v>3,8</v>
      </c>
      <c r="BY9" s="105"/>
      <c r="BZ9" s="11" t="str">
        <f>'Notas del Moodle'!AZ10</f>
        <v>5,88</v>
      </c>
      <c r="CA9" s="122">
        <f>'Notas del Moodle'!BA10</f>
        <v>5</v>
      </c>
      <c r="CB9" s="105"/>
      <c r="CC9" s="122">
        <f>'Notas del Moodle'!BB10</f>
        <v>5</v>
      </c>
      <c r="CD9" s="105"/>
      <c r="CE9" s="11">
        <f>'Notas del Moodle'!BC10</f>
        <v>4</v>
      </c>
      <c r="CF9" s="11" t="str">
        <f>'Notas del Moodle'!BD10</f>
        <v>6,92</v>
      </c>
      <c r="CG9" s="11" t="str">
        <f>'Notas del Moodle'!BE10</f>
        <v>-</v>
      </c>
      <c r="CH9" s="11" t="str">
        <f>'Notas del Moodle'!BF10</f>
        <v>-</v>
      </c>
      <c r="CI9" s="11" t="str">
        <f>'Notas del Moodle'!BG10</f>
        <v>-</v>
      </c>
      <c r="CJ9" s="23" t="str">
        <f>'Notas del Moodle'!BH10</f>
        <v>6,92</v>
      </c>
      <c r="CK9" s="12"/>
      <c r="CL9" s="112">
        <f>'Notas del Moodle'!BJ10</f>
        <v>6</v>
      </c>
      <c r="CM9" s="105"/>
      <c r="CN9" s="122" t="str">
        <f>'Notas del Moodle'!BK10</f>
        <v>1,93</v>
      </c>
      <c r="CO9" s="105"/>
      <c r="CP9" s="11" t="str">
        <f>'Notas del Moodle'!BL10</f>
        <v>3,97</v>
      </c>
      <c r="CQ9" s="122">
        <f>'Notas del Moodle'!BM10</f>
        <v>3</v>
      </c>
      <c r="CR9" s="105"/>
      <c r="CS9" s="11" t="str">
        <f>'Notas del Moodle'!BN10</f>
        <v>1,5</v>
      </c>
      <c r="CT9" s="11" t="str">
        <f>'Notas del Moodle'!BO10</f>
        <v>3,83</v>
      </c>
      <c r="CU9" s="11" t="str">
        <f>'Notas del Moodle'!BP10</f>
        <v>-</v>
      </c>
      <c r="CV9" s="11" t="str">
        <f>'Notas del Moodle'!BQ10</f>
        <v>-</v>
      </c>
      <c r="CW9" s="11" t="s">
        <v>34</v>
      </c>
      <c r="CX9" s="23" t="str">
        <f>'Notas del Moodle'!BS10</f>
        <v>3,83</v>
      </c>
      <c r="CY9" s="12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</row>
    <row r="10" spans="1:117" s="3" customFormat="1" x14ac:dyDescent="0.3">
      <c r="A10" s="34">
        <v>4</v>
      </c>
      <c r="B10" s="21" t="s">
        <v>97</v>
      </c>
      <c r="C10" s="18" t="s">
        <v>98</v>
      </c>
      <c r="D10" s="115" t="str">
        <f>'Notas del Moodle'!C11</f>
        <v>7,5</v>
      </c>
      <c r="E10" s="175"/>
      <c r="F10" s="13" t="str">
        <f>'Notas del Moodle'!D11</f>
        <v>0,9</v>
      </c>
      <c r="G10" s="121" t="str">
        <f>'Notas del Moodle'!E11</f>
        <v>6,5</v>
      </c>
      <c r="H10" s="175"/>
      <c r="I10" s="13" t="str">
        <f>'Notas del Moodle'!F11</f>
        <v>0,85</v>
      </c>
      <c r="J10" s="121" t="str">
        <f>'Notas del Moodle'!G11</f>
        <v>2,1</v>
      </c>
      <c r="K10" s="175"/>
      <c r="L10" s="121" t="str">
        <f>'Notas del Moodle'!H11</f>
        <v>5,5</v>
      </c>
      <c r="M10" s="175"/>
      <c r="N10" s="13" t="str">
        <f>'Notas del Moodle'!I11</f>
        <v>1,14</v>
      </c>
      <c r="O10" s="121" t="str">
        <f>'Notas del Moodle'!J11</f>
        <v>5,5</v>
      </c>
      <c r="P10" s="175"/>
      <c r="Q10" s="121" t="str">
        <f>'Notas del Moodle'!K11</f>
        <v>0,6</v>
      </c>
      <c r="R10" s="175"/>
      <c r="S10" s="13" t="str">
        <f>'Notas del Moodle'!L11</f>
        <v>0,92</v>
      </c>
      <c r="T10" s="121" t="str">
        <f>'Notas del Moodle'!M11</f>
        <v>0,9</v>
      </c>
      <c r="U10" s="175"/>
      <c r="V10" s="121">
        <f>'Notas del Moodle'!N11</f>
        <v>9</v>
      </c>
      <c r="W10" s="175"/>
      <c r="X10" s="13" t="str">
        <f>'Notas del Moodle'!O12</f>
        <v>1,96</v>
      </c>
      <c r="Y10" s="121">
        <f>'Notas del Moodle'!P11</f>
        <v>8</v>
      </c>
      <c r="Z10" s="175"/>
      <c r="AA10" s="13">
        <f>'Notas del Moodle'!Q11</f>
        <v>2</v>
      </c>
      <c r="AB10" s="13" t="str">
        <f>'Notas del Moodle'!R11</f>
        <v>5,45</v>
      </c>
      <c r="AC10" s="13" t="str">
        <f>'Notas del Moodle'!S11</f>
        <v>-</v>
      </c>
      <c r="AD10" s="13" t="str">
        <f>'Notas del Moodle'!T11</f>
        <v>7,5</v>
      </c>
      <c r="AE10" s="13" t="str">
        <f>'Notas del Moodle'!U11</f>
        <v>-</v>
      </c>
      <c r="AF10" s="24" t="str">
        <f>'Notas del Moodle'!V11</f>
        <v>7,7</v>
      </c>
      <c r="AG10" s="14"/>
      <c r="AH10" s="115">
        <f>'Notas del Moodle'!X11</f>
        <v>7</v>
      </c>
      <c r="AI10" s="175"/>
      <c r="AJ10" s="13" t="str">
        <f>'Notas del Moodle'!Y11</f>
        <v>0,7</v>
      </c>
      <c r="AK10" s="121">
        <f>'Notas del Moodle'!Z11</f>
        <v>1</v>
      </c>
      <c r="AL10" s="175"/>
      <c r="AM10" s="121" t="str">
        <f>'Notas del Moodle'!AA11</f>
        <v>3,5</v>
      </c>
      <c r="AN10" s="175"/>
      <c r="AO10" s="121">
        <f>'Notas del Moodle'!AB11</f>
        <v>3</v>
      </c>
      <c r="AP10" s="175"/>
      <c r="AQ10" s="121" t="str">
        <f>'Notas del Moodle'!AC11</f>
        <v>0,6</v>
      </c>
      <c r="AR10" s="175"/>
      <c r="AS10" s="13" t="str">
        <f>'Notas del Moodle'!AD11</f>
        <v>2,84</v>
      </c>
      <c r="AT10" s="121">
        <f>'Notas del Moodle'!AE11</f>
        <v>2</v>
      </c>
      <c r="AU10" s="175"/>
      <c r="AV10" s="121" t="str">
        <f>'Notas del Moodle'!AF11</f>
        <v>1,5</v>
      </c>
      <c r="AW10" s="175"/>
      <c r="AX10" s="121" t="str">
        <f>'Notas del Moodle'!AG11</f>
        <v>0,75</v>
      </c>
      <c r="AY10" s="175"/>
      <c r="AZ10" s="13" t="str">
        <f>'Notas del Moodle'!AH11</f>
        <v>1,06</v>
      </c>
      <c r="BA10" s="121" t="str">
        <f>'Notas del Moodle'!AI11</f>
        <v>6,25</v>
      </c>
      <c r="BB10" s="175"/>
      <c r="BC10" s="128">
        <f>'Notas del Moodle'!AJ11</f>
        <v>0</v>
      </c>
      <c r="BD10" s="176"/>
      <c r="BE10" s="13" t="str">
        <f>'Notas del Moodle'!AK11</f>
        <v>1,25</v>
      </c>
      <c r="BF10" s="121" t="str">
        <f>'Notas del Moodle'!AL11</f>
        <v>6,5</v>
      </c>
      <c r="BG10" s="175"/>
      <c r="BH10" s="13" t="str">
        <f>'Notas del Moodle'!AM11</f>
        <v>0,33</v>
      </c>
      <c r="BI10" s="121" t="str">
        <f>'Notas del Moodle'!AN11</f>
        <v>5,5</v>
      </c>
      <c r="BJ10" s="175"/>
      <c r="BK10" s="121" t="str">
        <f>'Notas del Moodle'!AO11</f>
        <v>0,4</v>
      </c>
      <c r="BL10" s="175"/>
      <c r="BM10" s="13" t="str">
        <f>'Notas del Moodle'!AP11</f>
        <v>0,3</v>
      </c>
      <c r="BN10" s="13" t="str">
        <f>'Notas del Moodle'!AQ11</f>
        <v>4,54</v>
      </c>
      <c r="BO10" s="13" t="str">
        <f>'Notas del Moodle'!AR11</f>
        <v>-</v>
      </c>
      <c r="BP10" s="13">
        <f>'Notas del Moodle'!AS11</f>
        <v>8</v>
      </c>
      <c r="BQ10" s="13" t="str">
        <f>'Notas del Moodle'!AT11</f>
        <v>-</v>
      </c>
      <c r="BR10" s="24" t="str">
        <f>'Notas del Moodle'!AU11</f>
        <v>6,94</v>
      </c>
      <c r="BS10" s="13"/>
      <c r="BT10" s="115">
        <f>'Notas del Moodle'!AW11</f>
        <v>2</v>
      </c>
      <c r="BU10" s="175"/>
      <c r="BV10" s="121">
        <f>'Notas del Moodle'!AX11</f>
        <v>4</v>
      </c>
      <c r="BW10" s="175"/>
      <c r="BX10" s="121" t="str">
        <f>'Notas del Moodle'!AY11</f>
        <v>1,8</v>
      </c>
      <c r="BY10" s="175"/>
      <c r="BZ10" s="56" t="str">
        <f>'Notas del Moodle'!AZ11</f>
        <v>4,68</v>
      </c>
      <c r="CA10" s="121">
        <f>'Notas del Moodle'!BA11</f>
        <v>5</v>
      </c>
      <c r="CB10" s="175"/>
      <c r="CC10" s="121" t="str">
        <f>'Notas del Moodle'!BB11</f>
        <v>3,17</v>
      </c>
      <c r="CD10" s="175"/>
      <c r="CE10" s="13" t="str">
        <f>'Notas del Moodle'!BC11</f>
        <v>3,27</v>
      </c>
      <c r="CF10" s="56" t="str">
        <f>'Notas del Moodle'!BD11</f>
        <v>5,57</v>
      </c>
      <c r="CG10" s="56" t="str">
        <f>'Notas del Moodle'!BE11</f>
        <v>-</v>
      </c>
      <c r="CH10" s="56">
        <f>'Notas del Moodle'!BF11</f>
        <v>8</v>
      </c>
      <c r="CI10" s="56" t="str">
        <f>'Notas del Moodle'!BG11</f>
        <v>-</v>
      </c>
      <c r="CJ10" s="64" t="str">
        <f>'Notas del Moodle'!BH11</f>
        <v>7,97</v>
      </c>
      <c r="CK10" s="57"/>
      <c r="CL10" s="115">
        <f>'Notas del Moodle'!BJ11</f>
        <v>3</v>
      </c>
      <c r="CM10" s="175"/>
      <c r="CN10" s="121" t="str">
        <f>'Notas del Moodle'!BK11</f>
        <v>2,14</v>
      </c>
      <c r="CO10" s="175"/>
      <c r="CP10" s="56" t="str">
        <f>'Notas del Moodle'!BL11</f>
        <v>2,57</v>
      </c>
      <c r="CQ10" s="121" t="str">
        <f>'Notas del Moodle'!BM11</f>
        <v>4,5</v>
      </c>
      <c r="CR10" s="175"/>
      <c r="CS10" s="56" t="str">
        <f>'Notas del Moodle'!BN11</f>
        <v>2,25</v>
      </c>
      <c r="CT10" s="56" t="str">
        <f>'Notas del Moodle'!BO11</f>
        <v>3,37</v>
      </c>
      <c r="CU10" s="56" t="str">
        <f>'Notas del Moodle'!BP11</f>
        <v>-</v>
      </c>
      <c r="CV10" s="56" t="str">
        <f>'Notas del Moodle'!BQ11</f>
        <v>6,5</v>
      </c>
      <c r="CW10" s="56" t="s">
        <v>34</v>
      </c>
      <c r="CX10" s="64" t="str">
        <f>'Notas del Moodle'!BS11</f>
        <v>5,32</v>
      </c>
      <c r="CY10" s="57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</row>
    <row r="11" spans="1:117" s="3" customFormat="1" ht="14.4" customHeight="1" x14ac:dyDescent="0.3">
      <c r="A11" s="34">
        <v>5</v>
      </c>
      <c r="B11" s="20" t="s">
        <v>124</v>
      </c>
      <c r="C11" s="17" t="s">
        <v>125</v>
      </c>
      <c r="D11" s="112">
        <f>'Notas del Moodle'!C12</f>
        <v>10</v>
      </c>
      <c r="E11" s="105"/>
      <c r="F11" s="11" t="str">
        <f>'Notas del Moodle'!D12</f>
        <v>1,2</v>
      </c>
      <c r="G11" s="122" t="str">
        <f>'Notas del Moodle'!E12</f>
        <v>8,5</v>
      </c>
      <c r="H11" s="105"/>
      <c r="I11" s="11" t="str">
        <f>'Notas del Moodle'!F12</f>
        <v>1,11</v>
      </c>
      <c r="J11" s="122">
        <f>'Notas del Moodle'!G12</f>
        <v>3</v>
      </c>
      <c r="K11" s="105"/>
      <c r="L11" s="122">
        <f>'Notas del Moodle'!H12</f>
        <v>7</v>
      </c>
      <c r="M11" s="105"/>
      <c r="N11" s="11" t="str">
        <f>'Notas del Moodle'!I12</f>
        <v>1,5</v>
      </c>
      <c r="O11" s="122">
        <f>'Notas del Moodle'!J12</f>
        <v>3</v>
      </c>
      <c r="P11" s="105"/>
      <c r="Q11" s="122" t="str">
        <f>'Notas del Moodle'!K12</f>
        <v>0,9</v>
      </c>
      <c r="R11" s="105"/>
      <c r="S11" s="11" t="str">
        <f>'Notas del Moodle'!L12</f>
        <v>0,59</v>
      </c>
      <c r="T11" s="122" t="str">
        <f>'Notas del Moodle'!M12</f>
        <v>0,8</v>
      </c>
      <c r="U11" s="105"/>
      <c r="V11" s="122">
        <f>'Notas del Moodle'!N12</f>
        <v>9</v>
      </c>
      <c r="W11" s="105"/>
      <c r="X11" s="11">
        <f>'Notas del Moodle'!O13</f>
        <v>2</v>
      </c>
      <c r="Y11" s="122" t="str">
        <f>'Notas del Moodle'!P12</f>
        <v>9,5</v>
      </c>
      <c r="Z11" s="105"/>
      <c r="AA11" s="11" t="str">
        <f>'Notas del Moodle'!Q12</f>
        <v>2,38</v>
      </c>
      <c r="AB11" s="11" t="str">
        <f>'Notas del Moodle'!R12</f>
        <v>6,12</v>
      </c>
      <c r="AC11" s="11" t="str">
        <f>'Notas del Moodle'!S12</f>
        <v>-</v>
      </c>
      <c r="AD11" s="11" t="str">
        <f>'Notas del Moodle'!T12</f>
        <v>8,5</v>
      </c>
      <c r="AE11" s="11" t="str">
        <f>'Notas del Moodle'!U12</f>
        <v>-</v>
      </c>
      <c r="AF11" s="23" t="str">
        <f>'Notas del Moodle'!V12</f>
        <v>8,67</v>
      </c>
      <c r="AG11" s="12"/>
      <c r="AH11" s="112">
        <f>'Notas del Moodle'!X12</f>
        <v>10</v>
      </c>
      <c r="AI11" s="105"/>
      <c r="AJ11" s="11">
        <f>'Notas del Moodle'!Y12</f>
        <v>1</v>
      </c>
      <c r="AK11" s="122">
        <f>'Notas del Moodle'!Z12</f>
        <v>1</v>
      </c>
      <c r="AL11" s="105"/>
      <c r="AM11" s="122" t="str">
        <f>'Notas del Moodle'!AA12</f>
        <v>4,75</v>
      </c>
      <c r="AN11" s="105"/>
      <c r="AO11" s="122">
        <f>'Notas del Moodle'!AB12</f>
        <v>3</v>
      </c>
      <c r="AP11" s="105"/>
      <c r="AQ11" s="122" t="str">
        <f>'Notas del Moodle'!AC12</f>
        <v>0,9</v>
      </c>
      <c r="AR11" s="105"/>
      <c r="AS11" s="11" t="str">
        <f>'Notas del Moodle'!AD12</f>
        <v>3,38</v>
      </c>
      <c r="AT11" s="122">
        <f>'Notas del Moodle'!AE12</f>
        <v>3</v>
      </c>
      <c r="AU11" s="105"/>
      <c r="AV11" s="122">
        <f>'Notas del Moodle'!AF12</f>
        <v>4</v>
      </c>
      <c r="AW11" s="105"/>
      <c r="AX11" s="122" t="str">
        <f>'Notas del Moodle'!AG12</f>
        <v>2,5</v>
      </c>
      <c r="AY11" s="105"/>
      <c r="AZ11" s="11" t="str">
        <f>'Notas del Moodle'!AH12</f>
        <v>2,38</v>
      </c>
      <c r="BA11" s="122">
        <f>'Notas del Moodle'!AI12</f>
        <v>7</v>
      </c>
      <c r="BB11" s="105"/>
      <c r="BC11" s="122" t="str">
        <f>'Notas del Moodle'!AJ12</f>
        <v>2,33</v>
      </c>
      <c r="BD11" s="105"/>
      <c r="BE11" s="11" t="str">
        <f>'Notas del Moodle'!AK12</f>
        <v>1,87</v>
      </c>
      <c r="BF11" s="122">
        <f>'Notas del Moodle'!AL12</f>
        <v>8</v>
      </c>
      <c r="BG11" s="105"/>
      <c r="BH11" s="11" t="str">
        <f>'Notas del Moodle'!AM12</f>
        <v>0,4</v>
      </c>
      <c r="BI11" s="122" t="str">
        <f>'Notas del Moodle'!AN12</f>
        <v>5,25</v>
      </c>
      <c r="BJ11" s="105"/>
      <c r="BK11" s="122" t="str">
        <f>'Notas del Moodle'!AO12</f>
        <v>2,4</v>
      </c>
      <c r="BL11" s="105"/>
      <c r="BM11" s="11" t="str">
        <f>'Notas del Moodle'!AP12</f>
        <v>0,38</v>
      </c>
      <c r="BN11" s="11" t="str">
        <f>'Notas del Moodle'!AQ12</f>
        <v>6,59</v>
      </c>
      <c r="BO11" s="11" t="str">
        <f>'Notas del Moodle'!AR12</f>
        <v>-</v>
      </c>
      <c r="BP11" s="11">
        <f>'Notas del Moodle'!AS12</f>
        <v>10</v>
      </c>
      <c r="BQ11" s="11" t="str">
        <f>'Notas del Moodle'!AT12</f>
        <v>-</v>
      </c>
      <c r="BR11" s="23" t="str">
        <f>'Notas del Moodle'!AU12</f>
        <v>9,59</v>
      </c>
      <c r="BS11" s="12"/>
      <c r="BT11" s="112">
        <f>'Notas del Moodle'!AW12</f>
        <v>2</v>
      </c>
      <c r="BU11" s="105"/>
      <c r="BV11" s="122">
        <f>'Notas del Moodle'!AX12</f>
        <v>4</v>
      </c>
      <c r="BW11" s="105"/>
      <c r="BX11" s="122">
        <f>'Notas del Moodle'!AY12</f>
        <v>4</v>
      </c>
      <c r="BY11" s="105"/>
      <c r="BZ11" s="11">
        <f>'Notas del Moodle'!AZ12</f>
        <v>6</v>
      </c>
      <c r="CA11" s="122">
        <f>'Notas del Moodle'!BA12</f>
        <v>5</v>
      </c>
      <c r="CB11" s="105"/>
      <c r="CC11" s="122">
        <f>'Notas del Moodle'!BB12</f>
        <v>5</v>
      </c>
      <c r="CD11" s="105"/>
      <c r="CE11" s="11">
        <f>'Notas del Moodle'!BC12</f>
        <v>4</v>
      </c>
      <c r="CF11" s="11">
        <f>'Notas del Moodle'!BD12</f>
        <v>7</v>
      </c>
      <c r="CG11" s="11" t="str">
        <f>'Notas del Moodle'!BE12</f>
        <v>-</v>
      </c>
      <c r="CH11" s="11">
        <f>'Notas del Moodle'!BF12</f>
        <v>10</v>
      </c>
      <c r="CI11" s="11" t="str">
        <f>'Notas del Moodle'!BG12</f>
        <v>-</v>
      </c>
      <c r="CJ11" s="23">
        <f>'Notas del Moodle'!BH12</f>
        <v>10</v>
      </c>
      <c r="CK11" s="12"/>
      <c r="CL11" s="112">
        <f>'Notas del Moodle'!BJ12</f>
        <v>6</v>
      </c>
      <c r="CM11" s="105"/>
      <c r="CN11" s="122" t="str">
        <f>'Notas del Moodle'!BK12</f>
        <v>2,79</v>
      </c>
      <c r="CO11" s="105"/>
      <c r="CP11" s="11" t="str">
        <f>'Notas del Moodle'!BL12</f>
        <v>4,4</v>
      </c>
      <c r="CQ11" s="122">
        <f>'Notas del Moodle'!BM12</f>
        <v>5</v>
      </c>
      <c r="CR11" s="105"/>
      <c r="CS11" s="11" t="str">
        <f>'Notas del Moodle'!BN12</f>
        <v>2,5</v>
      </c>
      <c r="CT11" s="11" t="str">
        <f>'Notas del Moodle'!BO12</f>
        <v>4,83</v>
      </c>
      <c r="CU11" s="11" t="str">
        <f>'Notas del Moodle'!BP12</f>
        <v>-</v>
      </c>
      <c r="CV11" s="11">
        <f>'Notas del Moodle'!BQ12</f>
        <v>10</v>
      </c>
      <c r="CW11" s="11" t="s">
        <v>34</v>
      </c>
      <c r="CX11" s="23" t="str">
        <f>'Notas del Moodle'!BS12</f>
        <v>7,83</v>
      </c>
      <c r="CY11" s="12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</row>
    <row r="12" spans="1:117" s="3" customFormat="1" ht="14.4" customHeight="1" x14ac:dyDescent="0.3">
      <c r="A12" s="34">
        <v>6</v>
      </c>
      <c r="B12" s="21" t="s">
        <v>143</v>
      </c>
      <c r="C12" s="18" t="s">
        <v>144</v>
      </c>
      <c r="D12" s="115">
        <f>'Notas del Moodle'!C13</f>
        <v>10</v>
      </c>
      <c r="E12" s="175"/>
      <c r="F12" s="13" t="str">
        <f>'Notas del Moodle'!D13</f>
        <v>1,2</v>
      </c>
      <c r="G12" s="121" t="str">
        <f>'Notas del Moodle'!E13</f>
        <v>7,5</v>
      </c>
      <c r="H12" s="175"/>
      <c r="I12" s="13" t="str">
        <f>'Notas del Moodle'!F13</f>
        <v>0,98</v>
      </c>
      <c r="J12" s="121" t="str">
        <f>'Notas del Moodle'!G13</f>
        <v>2,7</v>
      </c>
      <c r="K12" s="175"/>
      <c r="L12" s="121" t="str">
        <f>'Notas del Moodle'!H13</f>
        <v>6,5</v>
      </c>
      <c r="M12" s="175"/>
      <c r="N12" s="13" t="str">
        <f>'Notas del Moodle'!I13</f>
        <v>1,38</v>
      </c>
      <c r="O12" s="121">
        <f>'Notas del Moodle'!J13</f>
        <v>8</v>
      </c>
      <c r="P12" s="175"/>
      <c r="Q12" s="121">
        <f>'Notas del Moodle'!K13</f>
        <v>1</v>
      </c>
      <c r="R12" s="175"/>
      <c r="S12" s="13" t="str">
        <f>'Notas del Moodle'!L13</f>
        <v>1,35</v>
      </c>
      <c r="T12" s="121">
        <f>'Notas del Moodle'!M13</f>
        <v>1</v>
      </c>
      <c r="U12" s="175"/>
      <c r="V12" s="121">
        <f>'Notas del Moodle'!N13</f>
        <v>9</v>
      </c>
      <c r="W12" s="175"/>
      <c r="X12" s="13" t="str">
        <f>'Notas del Moodle'!O14</f>
        <v>1,74</v>
      </c>
      <c r="Y12" s="121">
        <f>'Notas del Moodle'!P13</f>
        <v>10</v>
      </c>
      <c r="Z12" s="175"/>
      <c r="AA12" s="13" t="str">
        <f>'Notas del Moodle'!Q13</f>
        <v>2,5</v>
      </c>
      <c r="AB12" s="13" t="str">
        <f>'Notas del Moodle'!R13</f>
        <v>6,59</v>
      </c>
      <c r="AC12" s="13" t="str">
        <f>'Notas del Moodle'!S13</f>
        <v>-</v>
      </c>
      <c r="AD12" s="13">
        <f>'Notas del Moodle'!T13</f>
        <v>10</v>
      </c>
      <c r="AE12" s="13" t="str">
        <f>'Notas del Moodle'!U13</f>
        <v>-</v>
      </c>
      <c r="AF12" s="24" t="str">
        <f>'Notas del Moodle'!V13</f>
        <v>9,59</v>
      </c>
      <c r="AG12" s="14"/>
      <c r="AH12" s="115">
        <f>'Notas del Moodle'!X13</f>
        <v>10</v>
      </c>
      <c r="AI12" s="175"/>
      <c r="AJ12" s="13">
        <f>'Notas del Moodle'!Y13</f>
        <v>1</v>
      </c>
      <c r="AK12" s="121">
        <f>'Notas del Moodle'!Z13</f>
        <v>1</v>
      </c>
      <c r="AL12" s="175"/>
      <c r="AM12" s="121" t="str">
        <f>'Notas del Moodle'!AA13</f>
        <v>3,25</v>
      </c>
      <c r="AN12" s="175"/>
      <c r="AO12" s="121" t="str">
        <f>'Notas del Moodle'!AB13</f>
        <v>2,4</v>
      </c>
      <c r="AP12" s="175"/>
      <c r="AQ12" s="121" t="str">
        <f>'Notas del Moodle'!AC13</f>
        <v>0,9</v>
      </c>
      <c r="AR12" s="175"/>
      <c r="AS12" s="13" t="str">
        <f>'Notas del Moodle'!AD13</f>
        <v>2,64</v>
      </c>
      <c r="AT12" s="121">
        <f>'Notas del Moodle'!AE13</f>
        <v>3</v>
      </c>
      <c r="AU12" s="175"/>
      <c r="AV12" s="121" t="str">
        <f>'Notas del Moodle'!AF13</f>
        <v>3,85</v>
      </c>
      <c r="AW12" s="175"/>
      <c r="AX12" s="121" t="str">
        <f>'Notas del Moodle'!AG13</f>
        <v>2,5</v>
      </c>
      <c r="AY12" s="175"/>
      <c r="AZ12" s="13" t="str">
        <f>'Notas del Moodle'!AH13</f>
        <v>2,34</v>
      </c>
      <c r="BA12" s="121">
        <f>'Notas del Moodle'!AI13</f>
        <v>7</v>
      </c>
      <c r="BB12" s="175"/>
      <c r="BC12" s="172" t="str">
        <f>'Notas del Moodle'!AJ13</f>
        <v>2,67</v>
      </c>
      <c r="BD12" s="173"/>
      <c r="BE12" s="13" t="str">
        <f>'Notas del Moodle'!AK13</f>
        <v>1,93</v>
      </c>
      <c r="BF12" s="121">
        <f>'Notas del Moodle'!AL13</f>
        <v>6</v>
      </c>
      <c r="BG12" s="175"/>
      <c r="BH12" s="13" t="str">
        <f>'Notas del Moodle'!AM13</f>
        <v>0,3</v>
      </c>
      <c r="BI12" s="121">
        <f>'Notas del Moodle'!AN13</f>
        <v>6</v>
      </c>
      <c r="BJ12" s="175"/>
      <c r="BK12" s="121" t="str">
        <f>'Notas del Moodle'!AO13</f>
        <v>2,8</v>
      </c>
      <c r="BL12" s="175"/>
      <c r="BM12" s="13" t="str">
        <f>'Notas del Moodle'!AP13</f>
        <v>0,44</v>
      </c>
      <c r="BN12" s="13" t="str">
        <f>'Notas del Moodle'!AQ13</f>
        <v>6,06</v>
      </c>
      <c r="BO12" s="13" t="str">
        <f>'Notas del Moodle'!AR13</f>
        <v>-</v>
      </c>
      <c r="BP12" s="13">
        <f>'Notas del Moodle'!AS13</f>
        <v>10</v>
      </c>
      <c r="BQ12" s="13" t="str">
        <f>'Notas del Moodle'!AT13</f>
        <v>-</v>
      </c>
      <c r="BR12" s="24" t="str">
        <f>'Notas del Moodle'!AU13</f>
        <v>9,06</v>
      </c>
      <c r="BS12" s="13"/>
      <c r="BT12" s="115">
        <f>'Notas del Moodle'!AW13</f>
        <v>2</v>
      </c>
      <c r="BU12" s="175"/>
      <c r="BV12" s="121">
        <f>'Notas del Moodle'!AX13</f>
        <v>4</v>
      </c>
      <c r="BW12" s="175"/>
      <c r="BX12" s="121">
        <f>'Notas del Moodle'!AY13</f>
        <v>4</v>
      </c>
      <c r="BY12" s="175"/>
      <c r="BZ12" s="56">
        <f>'Notas del Moodle'!AZ13</f>
        <v>6</v>
      </c>
      <c r="CA12" s="121" t="str">
        <f>'Notas del Moodle'!BA13</f>
        <v>4,25</v>
      </c>
      <c r="CB12" s="175"/>
      <c r="CC12" s="121">
        <f>'Notas del Moodle'!BB13</f>
        <v>5</v>
      </c>
      <c r="CD12" s="175"/>
      <c r="CE12" s="13" t="str">
        <f>'Notas del Moodle'!BC13</f>
        <v>3,7</v>
      </c>
      <c r="CF12" s="56" t="str">
        <f>'Notas del Moodle'!BD13</f>
        <v>6,79</v>
      </c>
      <c r="CG12" s="56" t="str">
        <f>'Notas del Moodle'!BE13</f>
        <v>-</v>
      </c>
      <c r="CH12" s="56">
        <f>'Notas del Moodle'!BF13</f>
        <v>10</v>
      </c>
      <c r="CI12" s="56" t="str">
        <f>'Notas del Moodle'!BG13</f>
        <v>-</v>
      </c>
      <c r="CJ12" s="64" t="str">
        <f>'Notas del Moodle'!BH13</f>
        <v>9,79</v>
      </c>
      <c r="CK12" s="57"/>
      <c r="CL12" s="115">
        <f>'Notas del Moodle'!BJ13</f>
        <v>7</v>
      </c>
      <c r="CM12" s="175"/>
      <c r="CN12" s="121">
        <f>'Notas del Moodle'!BK13</f>
        <v>3</v>
      </c>
      <c r="CO12" s="175"/>
      <c r="CP12" s="56">
        <f>'Notas del Moodle'!BL13</f>
        <v>5</v>
      </c>
      <c r="CQ12" s="121" t="str">
        <f>'Notas del Moodle'!BM13</f>
        <v>8,25</v>
      </c>
      <c r="CR12" s="175"/>
      <c r="CS12" s="56" t="str">
        <f>'Notas del Moodle'!BN13</f>
        <v>4,13</v>
      </c>
      <c r="CT12" s="56" t="str">
        <f>'Notas del Moodle'!BO13</f>
        <v>6,39</v>
      </c>
      <c r="CU12" s="56" t="str">
        <f>'Notas del Moodle'!BP13</f>
        <v>-</v>
      </c>
      <c r="CV12" s="56">
        <f>'Notas del Moodle'!BQ13</f>
        <v>10</v>
      </c>
      <c r="CW12" s="56" t="s">
        <v>34</v>
      </c>
      <c r="CX12" s="64" t="str">
        <f>'Notas del Moodle'!BS13</f>
        <v>9,39</v>
      </c>
      <c r="CY12" s="57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</row>
    <row r="13" spans="1:117" s="3" customFormat="1" ht="14.4" customHeight="1" x14ac:dyDescent="0.3">
      <c r="A13" s="34">
        <v>7</v>
      </c>
      <c r="B13" s="20" t="s">
        <v>163</v>
      </c>
      <c r="C13" s="17" t="s">
        <v>164</v>
      </c>
      <c r="D13" s="112">
        <f>'Notas del Moodle'!C14</f>
        <v>10</v>
      </c>
      <c r="E13" s="105"/>
      <c r="F13" s="11" t="str">
        <f>'Notas del Moodle'!D14</f>
        <v>1,2</v>
      </c>
      <c r="G13" s="122" t="str">
        <f>'Notas del Moodle'!E14</f>
        <v>7,5</v>
      </c>
      <c r="H13" s="105"/>
      <c r="I13" s="11" t="str">
        <f>'Notas del Moodle'!F14</f>
        <v>0,98</v>
      </c>
      <c r="J13" s="122" t="str">
        <f>'Notas del Moodle'!G14</f>
        <v>2,7</v>
      </c>
      <c r="K13" s="105"/>
      <c r="L13" s="122" t="str">
        <f>'Notas del Moodle'!H14</f>
        <v>5,5</v>
      </c>
      <c r="M13" s="105"/>
      <c r="N13" s="11" t="str">
        <f>'Notas del Moodle'!I14</f>
        <v>1,23</v>
      </c>
      <c r="O13" s="122">
        <f>'Notas del Moodle'!J14</f>
        <v>6</v>
      </c>
      <c r="P13" s="105"/>
      <c r="Q13" s="122" t="str">
        <f>'Notas del Moodle'!K14</f>
        <v>0,7</v>
      </c>
      <c r="R13" s="105"/>
      <c r="S13" s="11" t="str">
        <f>'Notas del Moodle'!L14</f>
        <v>1,01</v>
      </c>
      <c r="T13" s="122" t="str">
        <f>'Notas del Moodle'!M14</f>
        <v>0,7</v>
      </c>
      <c r="U13" s="105"/>
      <c r="V13" s="122">
        <f>'Notas del Moodle'!N14</f>
        <v>8</v>
      </c>
      <c r="W13" s="105"/>
      <c r="X13" s="11" t="str">
        <f>'Notas del Moodle'!O15</f>
        <v>1,96</v>
      </c>
      <c r="Y13" s="122">
        <f>'Notas del Moodle'!P14</f>
        <v>10</v>
      </c>
      <c r="Z13" s="105"/>
      <c r="AA13" s="11" t="str">
        <f>'Notas del Moodle'!Q14</f>
        <v>2,5</v>
      </c>
      <c r="AB13" s="11" t="str">
        <f>'Notas del Moodle'!R14</f>
        <v>6,06</v>
      </c>
      <c r="AC13" s="11" t="str">
        <f>'Notas del Moodle'!S14</f>
        <v>-</v>
      </c>
      <c r="AD13" s="11" t="str">
        <f>'Notas del Moodle'!T14</f>
        <v>8,5</v>
      </c>
      <c r="AE13" s="11" t="str">
        <f>'Notas del Moodle'!U14</f>
        <v>-</v>
      </c>
      <c r="AF13" s="23" t="str">
        <f>'Notas del Moodle'!V14</f>
        <v>8,61</v>
      </c>
      <c r="AG13" s="12"/>
      <c r="AH13" s="112" t="str">
        <f>'Notas del Moodle'!X14</f>
        <v>7,5</v>
      </c>
      <c r="AI13" s="105"/>
      <c r="AJ13" s="11" t="str">
        <f>'Notas del Moodle'!Y14</f>
        <v>0,75</v>
      </c>
      <c r="AK13" s="122">
        <f>'Notas del Moodle'!Z14</f>
        <v>1</v>
      </c>
      <c r="AL13" s="105"/>
      <c r="AM13" s="122" t="str">
        <f>'Notas del Moodle'!AA14</f>
        <v>4,25</v>
      </c>
      <c r="AN13" s="105"/>
      <c r="AO13" s="122">
        <f>'Notas del Moodle'!AB14</f>
        <v>3</v>
      </c>
      <c r="AP13" s="105"/>
      <c r="AQ13" s="122" t="str">
        <f>'Notas del Moodle'!AC14</f>
        <v>0,8</v>
      </c>
      <c r="AR13" s="105"/>
      <c r="AS13" s="11" t="str">
        <f>'Notas del Moodle'!AD14</f>
        <v>3,17</v>
      </c>
      <c r="AT13" s="122">
        <f>'Notas del Moodle'!AE14</f>
        <v>2</v>
      </c>
      <c r="AU13" s="105"/>
      <c r="AV13" s="122">
        <f>'Notas del Moodle'!AF14</f>
        <v>2</v>
      </c>
      <c r="AW13" s="105"/>
      <c r="AX13" s="122" t="str">
        <f>'Notas del Moodle'!AG14</f>
        <v>2,25</v>
      </c>
      <c r="AY13" s="105"/>
      <c r="AZ13" s="11" t="str">
        <f>'Notas del Moodle'!AH14</f>
        <v>1,56</v>
      </c>
      <c r="BA13" s="122">
        <f>'Notas del Moodle'!AI14</f>
        <v>7</v>
      </c>
      <c r="BB13" s="105"/>
      <c r="BC13" s="122">
        <f>'Notas del Moodle'!AJ14</f>
        <v>2</v>
      </c>
      <c r="BD13" s="105"/>
      <c r="BE13" s="11" t="str">
        <f>'Notas del Moodle'!AK14</f>
        <v>1,8</v>
      </c>
      <c r="BF13" s="122">
        <f>'Notas del Moodle'!AL14</f>
        <v>7</v>
      </c>
      <c r="BG13" s="105"/>
      <c r="BH13" s="11" t="str">
        <f>'Notas del Moodle'!AM14</f>
        <v>0,35</v>
      </c>
      <c r="BI13" s="122">
        <f>'Notas del Moodle'!AN14</f>
        <v>6</v>
      </c>
      <c r="BJ13" s="105"/>
      <c r="BK13" s="122" t="str">
        <f>'Notas del Moodle'!AO14</f>
        <v>1,2</v>
      </c>
      <c r="BL13" s="105"/>
      <c r="BM13" s="11" t="str">
        <f>'Notas del Moodle'!AP14</f>
        <v>0,36</v>
      </c>
      <c r="BN13" s="11" t="str">
        <f>'Notas del Moodle'!AQ14</f>
        <v>5,59</v>
      </c>
      <c r="BO13" s="11" t="str">
        <f>'Notas del Moodle'!AR14</f>
        <v>-</v>
      </c>
      <c r="BP13" s="11">
        <f>'Notas del Moodle'!AS14</f>
        <v>8</v>
      </c>
      <c r="BQ13" s="11" t="str">
        <f>'Notas del Moodle'!AT14</f>
        <v>-</v>
      </c>
      <c r="BR13" s="23" t="str">
        <f>'Notas del Moodle'!AU14</f>
        <v>7,99</v>
      </c>
      <c r="BS13" s="12"/>
      <c r="BT13" s="112">
        <f>'Notas del Moodle'!AW14</f>
        <v>2</v>
      </c>
      <c r="BU13" s="105"/>
      <c r="BV13" s="122" t="str">
        <f>'Notas del Moodle'!AX14</f>
        <v>2,75</v>
      </c>
      <c r="BW13" s="105"/>
      <c r="BX13" s="122" t="str">
        <f>'Notas del Moodle'!AY14</f>
        <v>3,8</v>
      </c>
      <c r="BY13" s="105"/>
      <c r="BZ13" s="11" t="str">
        <f>'Notas del Moodle'!AZ14</f>
        <v>5,13</v>
      </c>
      <c r="CA13" s="122">
        <f>'Notas del Moodle'!BA14</f>
        <v>5</v>
      </c>
      <c r="CB13" s="105"/>
      <c r="CC13" s="122" t="str">
        <f>'Notas del Moodle'!BB14</f>
        <v>4,5</v>
      </c>
      <c r="CD13" s="105"/>
      <c r="CE13" s="11" t="str">
        <f>'Notas del Moodle'!BC14</f>
        <v>3,8</v>
      </c>
      <c r="CF13" s="11" t="str">
        <f>'Notas del Moodle'!BD14</f>
        <v>6,25</v>
      </c>
      <c r="CG13" s="11" t="str">
        <f>'Notas del Moodle'!BE14</f>
        <v>-</v>
      </c>
      <c r="CH13" s="11">
        <f>'Notas del Moodle'!BF14</f>
        <v>7</v>
      </c>
      <c r="CI13" s="11" t="str">
        <f>'Notas del Moodle'!BG14</f>
        <v>-</v>
      </c>
      <c r="CJ13" s="23" t="str">
        <f>'Notas del Moodle'!BH14</f>
        <v>8,35</v>
      </c>
      <c r="CK13" s="12"/>
      <c r="CL13" s="112">
        <f>'Notas del Moodle'!BJ14</f>
        <v>4</v>
      </c>
      <c r="CM13" s="105"/>
      <c r="CN13" s="122" t="str">
        <f>'Notas del Moodle'!BK14</f>
        <v>2,57</v>
      </c>
      <c r="CO13" s="105"/>
      <c r="CP13" s="11" t="str">
        <f>'Notas del Moodle'!BL14</f>
        <v>3,29</v>
      </c>
      <c r="CQ13" s="122" t="str">
        <f>'Notas del Moodle'!BM14</f>
        <v>7,25</v>
      </c>
      <c r="CR13" s="105"/>
      <c r="CS13" s="11" t="str">
        <f>'Notas del Moodle'!BN14</f>
        <v>3,63</v>
      </c>
      <c r="CT13" s="11" t="str">
        <f>'Notas del Moodle'!BO14</f>
        <v>4,84</v>
      </c>
      <c r="CU13" s="11" t="str">
        <f>'Notas del Moodle'!BP14</f>
        <v>-</v>
      </c>
      <c r="CV13" s="11">
        <f>'Notas del Moodle'!BQ14</f>
        <v>8</v>
      </c>
      <c r="CW13" s="11" t="s">
        <v>34</v>
      </c>
      <c r="CX13" s="23" t="str">
        <f>'Notas del Moodle'!BS14</f>
        <v>7,24</v>
      </c>
      <c r="CY13" s="12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</row>
    <row r="14" spans="1:117" s="3" customFormat="1" ht="14.4" customHeight="1" x14ac:dyDescent="0.3">
      <c r="A14" s="34">
        <v>8</v>
      </c>
      <c r="B14" s="21" t="s">
        <v>181</v>
      </c>
      <c r="C14" s="18" t="s">
        <v>182</v>
      </c>
      <c r="D14" s="115" t="str">
        <f>'Notas del Moodle'!C15</f>
        <v>8,5</v>
      </c>
      <c r="E14" s="175"/>
      <c r="F14" s="13" t="str">
        <f>'Notas del Moodle'!D15</f>
        <v>1,02</v>
      </c>
      <c r="G14" s="121">
        <f>'Notas del Moodle'!E15</f>
        <v>6</v>
      </c>
      <c r="H14" s="175"/>
      <c r="I14" s="13" t="str">
        <f>'Notas del Moodle'!F15</f>
        <v>0,78</v>
      </c>
      <c r="J14" s="121" t="str">
        <f>'Notas del Moodle'!G15</f>
        <v>2,1</v>
      </c>
      <c r="K14" s="175"/>
      <c r="L14" s="121" t="str">
        <f>'Notas del Moodle'!H15</f>
        <v>4,5</v>
      </c>
      <c r="M14" s="175"/>
      <c r="N14" s="13" t="str">
        <f>'Notas del Moodle'!I15</f>
        <v>0,99</v>
      </c>
      <c r="O14" s="121" t="str">
        <f>'Notas del Moodle'!J15</f>
        <v>5,5</v>
      </c>
      <c r="P14" s="175"/>
      <c r="Q14" s="121" t="str">
        <f>'Notas del Moodle'!K15</f>
        <v>0,7</v>
      </c>
      <c r="R14" s="175"/>
      <c r="S14" s="13" t="str">
        <f>'Notas del Moodle'!L15</f>
        <v>0,93</v>
      </c>
      <c r="T14" s="121" t="str">
        <f>'Notas del Moodle'!M15</f>
        <v>0,8</v>
      </c>
      <c r="U14" s="175"/>
      <c r="V14" s="121">
        <f>'Notas del Moodle'!N15</f>
        <v>9</v>
      </c>
      <c r="W14" s="175"/>
      <c r="X14" s="13" t="str">
        <f>'Notas del Moodle'!O16</f>
        <v>1,96</v>
      </c>
      <c r="Y14" s="121" t="str">
        <f>'Notas del Moodle'!P15</f>
        <v>9,5</v>
      </c>
      <c r="Z14" s="175"/>
      <c r="AA14" s="13" t="str">
        <f>'Notas del Moodle'!Q15</f>
        <v>2,38</v>
      </c>
      <c r="AB14" s="13" t="str">
        <f>'Notas del Moodle'!R15</f>
        <v>5,64</v>
      </c>
      <c r="AC14" s="13" t="str">
        <f>'Notas del Moodle'!S15</f>
        <v>-</v>
      </c>
      <c r="AD14" s="13">
        <f>'Notas del Moodle'!T15</f>
        <v>8</v>
      </c>
      <c r="AE14" s="13" t="str">
        <f>'Notas del Moodle'!U15</f>
        <v>-</v>
      </c>
      <c r="AF14" s="24" t="str">
        <f>'Notas del Moodle'!V15</f>
        <v>8,04</v>
      </c>
      <c r="AG14" s="14"/>
      <c r="AH14" s="115">
        <f>'Notas del Moodle'!X15</f>
        <v>8</v>
      </c>
      <c r="AI14" s="175"/>
      <c r="AJ14" s="13" t="str">
        <f>'Notas del Moodle'!Y15</f>
        <v>0,8</v>
      </c>
      <c r="AK14" s="128">
        <f>'Notas del Moodle'!Z15</f>
        <v>0</v>
      </c>
      <c r="AL14" s="176"/>
      <c r="AM14" s="121" t="str">
        <f>'Notas del Moodle'!AA15</f>
        <v>3,5</v>
      </c>
      <c r="AN14" s="175"/>
      <c r="AO14" s="121">
        <f>'Notas del Moodle'!AB15</f>
        <v>3</v>
      </c>
      <c r="AP14" s="175"/>
      <c r="AQ14" s="121" t="str">
        <f>'Notas del Moodle'!AC15</f>
        <v>0,8</v>
      </c>
      <c r="AR14" s="175"/>
      <c r="AS14" s="13" t="str">
        <f>'Notas del Moodle'!AD15</f>
        <v>2,56</v>
      </c>
      <c r="AT14" s="121">
        <f>'Notas del Moodle'!AE15</f>
        <v>1</v>
      </c>
      <c r="AU14" s="175"/>
      <c r="AV14" s="121" t="str">
        <f>'Notas del Moodle'!AF15</f>
        <v>2,25</v>
      </c>
      <c r="AW14" s="175"/>
      <c r="AX14" s="121" t="str">
        <f>'Notas del Moodle'!AG15</f>
        <v>2,25</v>
      </c>
      <c r="AY14" s="175"/>
      <c r="AZ14" s="13" t="str">
        <f>'Notas del Moodle'!AH15</f>
        <v>1,38</v>
      </c>
      <c r="BA14" s="121" t="str">
        <f>'Notas del Moodle'!AI15</f>
        <v>3,5</v>
      </c>
      <c r="BB14" s="175"/>
      <c r="BC14" s="172" t="str">
        <f>'Notas del Moodle'!AJ15</f>
        <v>1,33</v>
      </c>
      <c r="BD14" s="173"/>
      <c r="BE14" s="13" t="str">
        <f>'Notas del Moodle'!AK15</f>
        <v>0,97</v>
      </c>
      <c r="BF14" s="121">
        <f>'Notas del Moodle'!AL15</f>
        <v>8</v>
      </c>
      <c r="BG14" s="175"/>
      <c r="BH14" s="13" t="str">
        <f>'Notas del Moodle'!AM15</f>
        <v>0,4</v>
      </c>
      <c r="BI14" s="121">
        <f>'Notas del Moodle'!AN15</f>
        <v>5</v>
      </c>
      <c r="BJ14" s="175"/>
      <c r="BK14" s="121" t="str">
        <f>'Notas del Moodle'!AO15</f>
        <v>1,6</v>
      </c>
      <c r="BL14" s="175"/>
      <c r="BM14" s="13" t="str">
        <f>'Notas del Moodle'!AP15</f>
        <v>0,33</v>
      </c>
      <c r="BN14" s="13" t="str">
        <f>'Notas del Moodle'!AQ15</f>
        <v>4,51</v>
      </c>
      <c r="BO14" s="13" t="str">
        <f>'Notas del Moodle'!AR15</f>
        <v>-</v>
      </c>
      <c r="BP14" s="13">
        <f>'Notas del Moodle'!AS15</f>
        <v>7</v>
      </c>
      <c r="BQ14" s="13" t="str">
        <f>'Notas del Moodle'!AT15</f>
        <v>-</v>
      </c>
      <c r="BR14" s="24" t="str">
        <f>'Notas del Moodle'!AU15</f>
        <v>6,61</v>
      </c>
      <c r="BS14" s="13"/>
      <c r="BT14" s="115">
        <f>'Notas del Moodle'!AW15</f>
        <v>2</v>
      </c>
      <c r="BU14" s="175"/>
      <c r="BV14" s="121">
        <f>'Notas del Moodle'!AX15</f>
        <v>4</v>
      </c>
      <c r="BW14" s="175"/>
      <c r="BX14" s="121" t="str">
        <f>'Notas del Moodle'!AY15</f>
        <v>3,4</v>
      </c>
      <c r="BY14" s="175"/>
      <c r="BZ14" s="56" t="str">
        <f>'Notas del Moodle'!AZ15</f>
        <v>5,64</v>
      </c>
      <c r="CA14" s="121">
        <f>'Notas del Moodle'!BA15</f>
        <v>5</v>
      </c>
      <c r="CB14" s="175"/>
      <c r="CC14" s="121" t="str">
        <f>'Notas del Moodle'!BB15</f>
        <v>4,33</v>
      </c>
      <c r="CD14" s="175"/>
      <c r="CE14" s="13" t="str">
        <f>'Notas del Moodle'!BC15</f>
        <v>3,73</v>
      </c>
      <c r="CF14" s="56" t="str">
        <f>'Notas del Moodle'!BD15</f>
        <v>6,56</v>
      </c>
      <c r="CG14" s="56" t="str">
        <f>'Notas del Moodle'!BE15</f>
        <v>-</v>
      </c>
      <c r="CH14" s="56" t="str">
        <f>'Notas del Moodle'!BF15</f>
        <v>9,5</v>
      </c>
      <c r="CI14" s="56" t="str">
        <f>'Notas del Moodle'!BG15</f>
        <v>-</v>
      </c>
      <c r="CJ14" s="64" t="str">
        <f>'Notas del Moodle'!BH15</f>
        <v>9,41</v>
      </c>
      <c r="CK14" s="57"/>
      <c r="CL14" s="115">
        <f>'Notas del Moodle'!BJ15</f>
        <v>5</v>
      </c>
      <c r="CM14" s="175"/>
      <c r="CN14" s="121" t="str">
        <f>'Notas del Moodle'!BK15</f>
        <v>2,14</v>
      </c>
      <c r="CO14" s="175"/>
      <c r="CP14" s="56" t="str">
        <f>'Notas del Moodle'!BL15</f>
        <v>3,57</v>
      </c>
      <c r="CQ14" s="121" t="str">
        <f>'Notas del Moodle'!BM15</f>
        <v>1,75</v>
      </c>
      <c r="CR14" s="175"/>
      <c r="CS14" s="56" t="str">
        <f>'Notas del Moodle'!BN15</f>
        <v>0,88</v>
      </c>
      <c r="CT14" s="56" t="str">
        <f>'Notas del Moodle'!BO15</f>
        <v>3,12</v>
      </c>
      <c r="CU14" s="56" t="str">
        <f>'Notas del Moodle'!BP15</f>
        <v>-</v>
      </c>
      <c r="CV14" s="56">
        <f>'Notas del Moodle'!BQ15</f>
        <v>6</v>
      </c>
      <c r="CW14" s="56" t="s">
        <v>34</v>
      </c>
      <c r="CX14" s="64" t="str">
        <f>'Notas del Moodle'!BS15</f>
        <v>4,92</v>
      </c>
      <c r="CY14" s="57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</row>
    <row r="15" spans="1:117" s="3" customFormat="1" ht="14.4" customHeight="1" x14ac:dyDescent="0.3">
      <c r="A15" s="34">
        <v>9</v>
      </c>
      <c r="B15" s="20" t="s">
        <v>203</v>
      </c>
      <c r="C15" s="17" t="s">
        <v>204</v>
      </c>
      <c r="D15" s="112">
        <f>'Notas del Moodle'!C16</f>
        <v>10</v>
      </c>
      <c r="E15" s="105"/>
      <c r="F15" s="11" t="str">
        <f>'Notas del Moodle'!D16</f>
        <v>1,2</v>
      </c>
      <c r="G15" s="122" t="str">
        <f>'Notas del Moodle'!E16</f>
        <v>9,5</v>
      </c>
      <c r="H15" s="105"/>
      <c r="I15" s="11" t="str">
        <f>'Notas del Moodle'!F16</f>
        <v>1,24</v>
      </c>
      <c r="J15" s="122" t="str">
        <f>'Notas del Moodle'!G16</f>
        <v>2,1</v>
      </c>
      <c r="K15" s="105"/>
      <c r="L15" s="122">
        <f>'Notas del Moodle'!H16</f>
        <v>7</v>
      </c>
      <c r="M15" s="105"/>
      <c r="N15" s="11" t="str">
        <f>'Notas del Moodle'!I16</f>
        <v>1,37</v>
      </c>
      <c r="O15" s="122">
        <f>'Notas del Moodle'!J16</f>
        <v>8</v>
      </c>
      <c r="P15" s="105"/>
      <c r="Q15" s="122" t="str">
        <f>'Notas del Moodle'!K16</f>
        <v>0,9</v>
      </c>
      <c r="R15" s="105"/>
      <c r="S15" s="11" t="str">
        <f>'Notas del Moodle'!L16</f>
        <v>1,34</v>
      </c>
      <c r="T15" s="122" t="str">
        <f>'Notas del Moodle'!M16</f>
        <v>0,8</v>
      </c>
      <c r="U15" s="105"/>
      <c r="V15" s="122">
        <f>'Notas del Moodle'!N16</f>
        <v>9</v>
      </c>
      <c r="W15" s="105"/>
      <c r="X15" s="11" t="str">
        <f>'Notas del Moodle'!O17</f>
        <v>1,94</v>
      </c>
      <c r="Y15" s="122">
        <f>'Notas del Moodle'!P16</f>
        <v>10</v>
      </c>
      <c r="Z15" s="105"/>
      <c r="AA15" s="11" t="str">
        <f>'Notas del Moodle'!Q16</f>
        <v>2,5</v>
      </c>
      <c r="AB15" s="11" t="str">
        <f>'Notas del Moodle'!R16</f>
        <v>6,73</v>
      </c>
      <c r="AC15" s="11" t="str">
        <f>'Notas del Moodle'!S16</f>
        <v>-</v>
      </c>
      <c r="AD15" s="11">
        <f>'Notas del Moodle'!T16</f>
        <v>8</v>
      </c>
      <c r="AE15" s="11" t="str">
        <f>'Notas del Moodle'!U16</f>
        <v>-</v>
      </c>
      <c r="AF15" s="23" t="str">
        <f>'Notas del Moodle'!V16</f>
        <v>9,13</v>
      </c>
      <c r="AG15" s="12"/>
      <c r="AH15" s="112" t="str">
        <f>'Notas del Moodle'!X16</f>
        <v>8,5</v>
      </c>
      <c r="AI15" s="105"/>
      <c r="AJ15" s="11" t="str">
        <f>'Notas del Moodle'!Y16</f>
        <v>0,85</v>
      </c>
      <c r="AK15" s="122">
        <f>'Notas del Moodle'!Z16</f>
        <v>1</v>
      </c>
      <c r="AL15" s="105"/>
      <c r="AM15" s="122" t="str">
        <f>'Notas del Moodle'!AA16</f>
        <v>1,25</v>
      </c>
      <c r="AN15" s="105"/>
      <c r="AO15" s="122" t="str">
        <f>'Notas del Moodle'!AB16</f>
        <v>1,7</v>
      </c>
      <c r="AP15" s="105"/>
      <c r="AQ15" s="122">
        <f>'Notas del Moodle'!AC16</f>
        <v>1</v>
      </c>
      <c r="AR15" s="105"/>
      <c r="AS15" s="11" t="str">
        <f>'Notas del Moodle'!AD16</f>
        <v>1,73</v>
      </c>
      <c r="AT15" s="122">
        <f>'Notas del Moodle'!AE16</f>
        <v>3</v>
      </c>
      <c r="AU15" s="105"/>
      <c r="AV15" s="122">
        <f>'Notas del Moodle'!AF16</f>
        <v>4</v>
      </c>
      <c r="AW15" s="105"/>
      <c r="AX15" s="122" t="str">
        <f>'Notas del Moodle'!AG16</f>
        <v>1,75</v>
      </c>
      <c r="AY15" s="105"/>
      <c r="AZ15" s="11" t="str">
        <f>'Notas del Moodle'!AH16</f>
        <v>2,19</v>
      </c>
      <c r="BA15" s="122">
        <f>'Notas del Moodle'!AI16</f>
        <v>7</v>
      </c>
      <c r="BB15" s="105"/>
      <c r="BC15" s="122" t="str">
        <f>'Notas del Moodle'!AJ16</f>
        <v>2,67</v>
      </c>
      <c r="BD15" s="105"/>
      <c r="BE15" s="11" t="str">
        <f>'Notas del Moodle'!AK16</f>
        <v>1,93</v>
      </c>
      <c r="BF15" s="122" t="str">
        <f>'Notas del Moodle'!AL16</f>
        <v>8,5</v>
      </c>
      <c r="BG15" s="105"/>
      <c r="BH15" s="11" t="str">
        <f>'Notas del Moodle'!AM16</f>
        <v>0,43</v>
      </c>
      <c r="BI15" s="122">
        <f>'Notas del Moodle'!AN16</f>
        <v>6</v>
      </c>
      <c r="BJ15" s="105"/>
      <c r="BK15" s="122" t="str">
        <f>'Notas del Moodle'!AO16</f>
        <v>2,4</v>
      </c>
      <c r="BL15" s="105"/>
      <c r="BM15" s="11" t="str">
        <f>'Notas del Moodle'!AP16</f>
        <v>0,42</v>
      </c>
      <c r="BN15" s="11" t="str">
        <f>'Notas del Moodle'!AQ16</f>
        <v>5,29</v>
      </c>
      <c r="BO15" s="11" t="str">
        <f>'Notas del Moodle'!AR16</f>
        <v>-</v>
      </c>
      <c r="BP15" s="11">
        <f>'Notas del Moodle'!AS16</f>
        <v>9</v>
      </c>
      <c r="BQ15" s="11" t="str">
        <f>'Notas del Moodle'!AT16</f>
        <v>-</v>
      </c>
      <c r="BR15" s="23" t="str">
        <f>'Notas del Moodle'!AU16</f>
        <v>7,99</v>
      </c>
      <c r="BS15" s="12"/>
      <c r="BT15" s="112">
        <f>'Notas del Moodle'!AW16</f>
        <v>2</v>
      </c>
      <c r="BU15" s="105"/>
      <c r="BV15" s="122" t="str">
        <f>'Notas del Moodle'!AX16</f>
        <v>2,25</v>
      </c>
      <c r="BW15" s="105"/>
      <c r="BX15" s="122" t="str">
        <f>'Notas del Moodle'!AY16</f>
        <v>3,6</v>
      </c>
      <c r="BY15" s="105"/>
      <c r="BZ15" s="11" t="str">
        <f>'Notas del Moodle'!AZ16</f>
        <v>4,71</v>
      </c>
      <c r="CA15" s="122" t="str">
        <f>'Notas del Moodle'!BA16</f>
        <v>4,25</v>
      </c>
      <c r="CB15" s="105"/>
      <c r="CC15" s="122" t="str">
        <f>'Notas del Moodle'!BB16</f>
        <v>4,83</v>
      </c>
      <c r="CD15" s="105"/>
      <c r="CE15" s="11" t="str">
        <f>'Notas del Moodle'!BC16</f>
        <v>3,63</v>
      </c>
      <c r="CF15" s="11" t="str">
        <f>'Notas del Moodle'!BD16</f>
        <v>5,84</v>
      </c>
      <c r="CG15" s="11" t="str">
        <f>'Notas del Moodle'!BE16</f>
        <v>-</v>
      </c>
      <c r="CH15" s="11">
        <f>'Notas del Moodle'!BF16</f>
        <v>10</v>
      </c>
      <c r="CI15" s="11" t="str">
        <f>'Notas del Moodle'!BG16</f>
        <v>-</v>
      </c>
      <c r="CJ15" s="23" t="str">
        <f>'Notas del Moodle'!BH16</f>
        <v>8,84</v>
      </c>
      <c r="CK15" s="12"/>
      <c r="CL15" s="112">
        <f>'Notas del Moodle'!BJ16</f>
        <v>6</v>
      </c>
      <c r="CM15" s="105"/>
      <c r="CN15" s="122" t="str">
        <f>'Notas del Moodle'!BK16</f>
        <v>2,79</v>
      </c>
      <c r="CO15" s="105"/>
      <c r="CP15" s="11" t="str">
        <f>'Notas del Moodle'!BL16</f>
        <v>4,4</v>
      </c>
      <c r="CQ15" s="122">
        <f>'Notas del Moodle'!BM16</f>
        <v>10</v>
      </c>
      <c r="CR15" s="105"/>
      <c r="CS15" s="11">
        <f>'Notas del Moodle'!BN16</f>
        <v>5</v>
      </c>
      <c r="CT15" s="11" t="str">
        <f>'Notas del Moodle'!BO16</f>
        <v>6,58</v>
      </c>
      <c r="CU15" s="11" t="str">
        <f>'Notas del Moodle'!BP16</f>
        <v>-</v>
      </c>
      <c r="CV15" s="11">
        <f>'Notas del Moodle'!BQ16</f>
        <v>7</v>
      </c>
      <c r="CW15" s="11" t="s">
        <v>34</v>
      </c>
      <c r="CX15" s="23" t="str">
        <f>'Notas del Moodle'!BS16</f>
        <v>8,68</v>
      </c>
      <c r="CY15" s="12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</row>
    <row r="16" spans="1:117" s="3" customFormat="1" ht="14.4" customHeight="1" x14ac:dyDescent="0.3">
      <c r="A16" s="34">
        <v>10</v>
      </c>
      <c r="B16" s="21" t="s">
        <v>221</v>
      </c>
      <c r="C16" s="18" t="s">
        <v>222</v>
      </c>
      <c r="D16" s="115">
        <f>'Notas del Moodle'!C17</f>
        <v>9</v>
      </c>
      <c r="E16" s="175"/>
      <c r="F16" s="13" t="str">
        <f>'Notas del Moodle'!D17</f>
        <v>1,08</v>
      </c>
      <c r="G16" s="121">
        <f>'Notas del Moodle'!E17</f>
        <v>6</v>
      </c>
      <c r="H16" s="175"/>
      <c r="I16" s="13" t="str">
        <f>'Notas del Moodle'!F17</f>
        <v>0,78</v>
      </c>
      <c r="J16" s="121" t="str">
        <f>'Notas del Moodle'!G17</f>
        <v>2,7</v>
      </c>
      <c r="K16" s="175"/>
      <c r="L16" s="121" t="str">
        <f>'Notas del Moodle'!H17</f>
        <v>6,5</v>
      </c>
      <c r="M16" s="175"/>
      <c r="N16" s="13" t="str">
        <f>'Notas del Moodle'!I17</f>
        <v>1,38</v>
      </c>
      <c r="O16" s="121">
        <f>'Notas del Moodle'!J17</f>
        <v>9</v>
      </c>
      <c r="P16" s="175"/>
      <c r="Q16" s="121" t="str">
        <f>'Notas del Moodle'!K17</f>
        <v>0,6</v>
      </c>
      <c r="R16" s="175"/>
      <c r="S16" s="13" t="str">
        <f>'Notas del Moodle'!L17</f>
        <v>1,44</v>
      </c>
      <c r="T16" s="121" t="str">
        <f>'Notas del Moodle'!M17</f>
        <v>0,7</v>
      </c>
      <c r="U16" s="175"/>
      <c r="V16" s="121">
        <f>'Notas del Moodle'!N17</f>
        <v>9</v>
      </c>
      <c r="W16" s="175"/>
      <c r="X16" s="13" t="str">
        <f>'Notas del Moodle'!O18</f>
        <v>1,96</v>
      </c>
      <c r="Y16" s="121">
        <f>'Notas del Moodle'!P17</f>
        <v>10</v>
      </c>
      <c r="Z16" s="175"/>
      <c r="AA16" s="13" t="str">
        <f>'Notas del Moodle'!Q17</f>
        <v>2,5</v>
      </c>
      <c r="AB16" s="13" t="str">
        <f>'Notas del Moodle'!R17</f>
        <v>6,38</v>
      </c>
      <c r="AC16" s="13" t="str">
        <f>'Notas del Moodle'!S17</f>
        <v>-</v>
      </c>
      <c r="AD16" s="13">
        <f>'Notas del Moodle'!T17</f>
        <v>7</v>
      </c>
      <c r="AE16" s="13" t="str">
        <f>'Notas del Moodle'!U17</f>
        <v>-</v>
      </c>
      <c r="AF16" s="24" t="str">
        <f>'Notas del Moodle'!V17</f>
        <v>8,48</v>
      </c>
      <c r="AG16" s="14"/>
      <c r="AH16" s="115">
        <f>'Notas del Moodle'!X17</f>
        <v>10</v>
      </c>
      <c r="AI16" s="175"/>
      <c r="AJ16" s="13">
        <f>'Notas del Moodle'!Y17</f>
        <v>1</v>
      </c>
      <c r="AK16" s="121">
        <f>'Notas del Moodle'!Z17</f>
        <v>1</v>
      </c>
      <c r="AL16" s="175"/>
      <c r="AM16" s="121" t="str">
        <f>'Notas del Moodle'!AA17</f>
        <v>2,5</v>
      </c>
      <c r="AN16" s="175"/>
      <c r="AO16" s="121" t="str">
        <f>'Notas del Moodle'!AB17</f>
        <v>0,2</v>
      </c>
      <c r="AP16" s="175"/>
      <c r="AQ16" s="121" t="str">
        <f>'Notas del Moodle'!AC17</f>
        <v>0,7</v>
      </c>
      <c r="AR16" s="175"/>
      <c r="AS16" s="13" t="str">
        <f>'Notas del Moodle'!AD17</f>
        <v>1,54</v>
      </c>
      <c r="AT16" s="121">
        <f>'Notas del Moodle'!AE17</f>
        <v>2</v>
      </c>
      <c r="AU16" s="175"/>
      <c r="AV16" s="121">
        <f>'Notas del Moodle'!AF17</f>
        <v>4</v>
      </c>
      <c r="AW16" s="175"/>
      <c r="AX16" s="121" t="str">
        <f>'Notas del Moodle'!AG17</f>
        <v>1,5</v>
      </c>
      <c r="AY16" s="175"/>
      <c r="AZ16" s="13" t="str">
        <f>'Notas del Moodle'!AH17</f>
        <v>1,88</v>
      </c>
      <c r="BA16" s="121">
        <f>'Notas del Moodle'!AI17</f>
        <v>7</v>
      </c>
      <c r="BB16" s="175"/>
      <c r="BC16" s="172" t="str">
        <f>'Notas del Moodle'!AJ17</f>
        <v>1,67</v>
      </c>
      <c r="BD16" s="173"/>
      <c r="BE16" s="13" t="str">
        <f>'Notas del Moodle'!AK17</f>
        <v>1,73</v>
      </c>
      <c r="BF16" s="121" t="str">
        <f>'Notas del Moodle'!AL17</f>
        <v>9,5</v>
      </c>
      <c r="BG16" s="175"/>
      <c r="BH16" s="13" t="str">
        <f>'Notas del Moodle'!AM17</f>
        <v>0,48</v>
      </c>
      <c r="BI16" s="121" t="str">
        <f>'Notas del Moodle'!AN17</f>
        <v>5,5</v>
      </c>
      <c r="BJ16" s="175"/>
      <c r="BK16" s="121" t="str">
        <f>'Notas del Moodle'!AO17</f>
        <v>1,2</v>
      </c>
      <c r="BL16" s="175"/>
      <c r="BM16" s="13" t="str">
        <f>'Notas del Moodle'!AP17</f>
        <v>0,34</v>
      </c>
      <c r="BN16" s="13" t="str">
        <f>'Notas del Moodle'!AQ17</f>
        <v>4,88</v>
      </c>
      <c r="BO16" s="13" t="str">
        <f>'Notas del Moodle'!AR17</f>
        <v>-</v>
      </c>
      <c r="BP16" s="46">
        <f>'Notas del Moodle'!AS17</f>
        <v>4</v>
      </c>
      <c r="BQ16" s="13" t="str">
        <f>'Notas del Moodle'!AT17</f>
        <v>-</v>
      </c>
      <c r="BR16" s="55">
        <f>'Notas del Moodle'!AU17</f>
        <v>4</v>
      </c>
      <c r="BS16" s="13"/>
      <c r="BT16" s="115">
        <f>'Notas del Moodle'!AW17</f>
        <v>1</v>
      </c>
      <c r="BU16" s="175"/>
      <c r="BV16" s="121" t="str">
        <f>'Notas del Moodle'!AX17</f>
        <v>3,5</v>
      </c>
      <c r="BW16" s="175"/>
      <c r="BX16" s="121" t="str">
        <f>'Notas del Moodle'!AY17</f>
        <v>3,6</v>
      </c>
      <c r="BY16" s="175"/>
      <c r="BZ16" s="56" t="str">
        <f>'Notas del Moodle'!AZ17</f>
        <v>4,86</v>
      </c>
      <c r="CA16" s="121" t="str">
        <f>'Notas del Moodle'!BA17</f>
        <v>4,25</v>
      </c>
      <c r="CB16" s="175"/>
      <c r="CC16" s="121">
        <f>'Notas del Moodle'!BB17</f>
        <v>5</v>
      </c>
      <c r="CD16" s="175"/>
      <c r="CE16" s="13" t="str">
        <f>'Notas del Moodle'!BC17</f>
        <v>3,7</v>
      </c>
      <c r="CF16" s="56" t="str">
        <f>'Notas del Moodle'!BD17</f>
        <v>5,99</v>
      </c>
      <c r="CG16" s="56" t="str">
        <f>'Notas del Moodle'!BE17</f>
        <v>-</v>
      </c>
      <c r="CH16" s="56" t="str">
        <f>'Notas del Moodle'!BF17</f>
        <v>7,5</v>
      </c>
      <c r="CI16" s="56" t="str">
        <f>'Notas del Moodle'!BG17</f>
        <v>-</v>
      </c>
      <c r="CJ16" s="64" t="str">
        <f>'Notas del Moodle'!BH17</f>
        <v>8,24</v>
      </c>
      <c r="CK16" s="57"/>
      <c r="CL16" s="115">
        <f>'Notas del Moodle'!BJ17</f>
        <v>4</v>
      </c>
      <c r="CM16" s="175"/>
      <c r="CN16" s="121" t="str">
        <f>'Notas del Moodle'!BK17</f>
        <v>2,57</v>
      </c>
      <c r="CO16" s="175"/>
      <c r="CP16" s="56" t="str">
        <f>'Notas del Moodle'!BL17</f>
        <v>3,29</v>
      </c>
      <c r="CQ16" s="121" t="str">
        <f>'Notas del Moodle'!BM17</f>
        <v>3,75</v>
      </c>
      <c r="CR16" s="175"/>
      <c r="CS16" s="56" t="str">
        <f>'Notas del Moodle'!BN17</f>
        <v>1,88</v>
      </c>
      <c r="CT16" s="56" t="str">
        <f>'Notas del Moodle'!BO17</f>
        <v>3,62</v>
      </c>
      <c r="CU16" s="56" t="str">
        <f>'Notas del Moodle'!BP17</f>
        <v>-</v>
      </c>
      <c r="CV16" s="56">
        <f>'Notas del Moodle'!BQ17</f>
        <v>6</v>
      </c>
      <c r="CW16" s="56" t="s">
        <v>34</v>
      </c>
      <c r="CX16" s="64" t="str">
        <f>'Notas del Moodle'!BS17</f>
        <v>5,42</v>
      </c>
      <c r="CY16" s="57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</row>
    <row r="17" spans="1:117" s="3" customFormat="1" ht="14.4" customHeight="1" x14ac:dyDescent="0.3">
      <c r="A17" s="34">
        <v>11</v>
      </c>
      <c r="B17" s="20" t="s">
        <v>238</v>
      </c>
      <c r="C17" s="17" t="s">
        <v>239</v>
      </c>
      <c r="D17" s="112">
        <f>'Notas del Moodle'!C18</f>
        <v>10</v>
      </c>
      <c r="E17" s="105"/>
      <c r="F17" s="11" t="str">
        <f>'Notas del Moodle'!D18</f>
        <v>1,2</v>
      </c>
      <c r="G17" s="122">
        <f>'Notas del Moodle'!E18</f>
        <v>4</v>
      </c>
      <c r="H17" s="105"/>
      <c r="I17" s="11" t="str">
        <f>'Notas del Moodle'!F18</f>
        <v>0,52</v>
      </c>
      <c r="J17" s="122" t="str">
        <f>'Notas del Moodle'!G18</f>
        <v>2,4</v>
      </c>
      <c r="K17" s="105"/>
      <c r="L17" s="122">
        <f>'Notas del Moodle'!H18</f>
        <v>7</v>
      </c>
      <c r="M17" s="105"/>
      <c r="N17" s="11" t="str">
        <f>'Notas del Moodle'!I18</f>
        <v>1,41</v>
      </c>
      <c r="O17" s="122" t="str">
        <f>'Notas del Moodle'!J18</f>
        <v>8,25</v>
      </c>
      <c r="P17" s="105"/>
      <c r="Q17" s="122" t="str">
        <f>'Notas del Moodle'!K18</f>
        <v>0,8</v>
      </c>
      <c r="R17" s="105"/>
      <c r="S17" s="11" t="str">
        <f>'Notas del Moodle'!L18</f>
        <v>1,36</v>
      </c>
      <c r="T17" s="122" t="str">
        <f>'Notas del Moodle'!M18</f>
        <v>0,8</v>
      </c>
      <c r="U17" s="105"/>
      <c r="V17" s="122">
        <f>'Notas del Moodle'!N18</f>
        <v>9</v>
      </c>
      <c r="W17" s="105"/>
      <c r="X17" s="11">
        <f>'Notas del Moodle'!O19</f>
        <v>2</v>
      </c>
      <c r="Y17" s="122" t="str">
        <f>'Notas del Moodle'!P18</f>
        <v>8,75</v>
      </c>
      <c r="Z17" s="105"/>
      <c r="AA17" s="11" t="str">
        <f>'Notas del Moodle'!Q18</f>
        <v>2,19</v>
      </c>
      <c r="AB17" s="11" t="str">
        <f>'Notas del Moodle'!R18</f>
        <v>6,05</v>
      </c>
      <c r="AC17" s="11" t="str">
        <f>'Notas del Moodle'!S18</f>
        <v>-</v>
      </c>
      <c r="AD17" s="11">
        <f>'Notas del Moodle'!T18</f>
        <v>9</v>
      </c>
      <c r="AE17" s="11" t="str">
        <f>'Notas del Moodle'!U18</f>
        <v>-</v>
      </c>
      <c r="AF17" s="23" t="str">
        <f>'Notas del Moodle'!V18</f>
        <v>8,75</v>
      </c>
      <c r="AG17" s="12"/>
      <c r="AH17" s="112" t="str">
        <f>'Notas del Moodle'!X18</f>
        <v>9,5</v>
      </c>
      <c r="AI17" s="105"/>
      <c r="AJ17" s="11" t="str">
        <f>'Notas del Moodle'!Y18</f>
        <v>0,95</v>
      </c>
      <c r="AK17" s="122">
        <f>'Notas del Moodle'!Z18</f>
        <v>1</v>
      </c>
      <c r="AL17" s="105"/>
      <c r="AM17" s="122" t="str">
        <f>'Notas del Moodle'!AA18</f>
        <v>4,25</v>
      </c>
      <c r="AN17" s="105"/>
      <c r="AO17" s="122">
        <f>'Notas del Moodle'!AB18</f>
        <v>3</v>
      </c>
      <c r="AP17" s="105"/>
      <c r="AQ17" s="122" t="str">
        <f>'Notas del Moodle'!AC18</f>
        <v>0,7</v>
      </c>
      <c r="AR17" s="105"/>
      <c r="AS17" s="11" t="str">
        <f>'Notas del Moodle'!AD18</f>
        <v>3,13</v>
      </c>
      <c r="AT17" s="122">
        <f>'Notas del Moodle'!AE18</f>
        <v>3</v>
      </c>
      <c r="AU17" s="105"/>
      <c r="AV17" s="122" t="str">
        <f>'Notas del Moodle'!AF18</f>
        <v>2,25</v>
      </c>
      <c r="AW17" s="105"/>
      <c r="AX17" s="122" t="str">
        <f>'Notas del Moodle'!AG18</f>
        <v>2,25</v>
      </c>
      <c r="AY17" s="105"/>
      <c r="AZ17" s="11" t="str">
        <f>'Notas del Moodle'!AH18</f>
        <v>1,88</v>
      </c>
      <c r="BA17" s="122">
        <f>'Notas del Moodle'!AI18</f>
        <v>7</v>
      </c>
      <c r="BB17" s="105"/>
      <c r="BC17" s="122" t="str">
        <f>'Notas del Moodle'!AJ18</f>
        <v>2,33</v>
      </c>
      <c r="BD17" s="105"/>
      <c r="BE17" s="11" t="str">
        <f>'Notas del Moodle'!AK18</f>
        <v>1,87</v>
      </c>
      <c r="BF17" s="122" t="str">
        <f>'Notas del Moodle'!AL18</f>
        <v>6,5</v>
      </c>
      <c r="BG17" s="105"/>
      <c r="BH17" s="11" t="str">
        <f>'Notas del Moodle'!AM18</f>
        <v>0,33</v>
      </c>
      <c r="BI17" s="122">
        <f>'Notas del Moodle'!AN18</f>
        <v>6</v>
      </c>
      <c r="BJ17" s="105"/>
      <c r="BK17" s="122" t="str">
        <f>'Notas del Moodle'!AO18</f>
        <v>2,4</v>
      </c>
      <c r="BL17" s="105"/>
      <c r="BM17" s="11" t="str">
        <f>'Notas del Moodle'!AP18</f>
        <v>0,42</v>
      </c>
      <c r="BN17" s="11" t="str">
        <f>'Notas del Moodle'!AQ18</f>
        <v>6,01</v>
      </c>
      <c r="BO17" s="11" t="str">
        <f>'Notas del Moodle'!AR18</f>
        <v>-</v>
      </c>
      <c r="BP17" s="11">
        <f>'Notas del Moodle'!AS18</f>
        <v>9</v>
      </c>
      <c r="BQ17" s="11" t="str">
        <f>'Notas del Moodle'!AT18</f>
        <v>-</v>
      </c>
      <c r="BR17" s="23" t="str">
        <f>'Notas del Moodle'!AU18</f>
        <v>8,71</v>
      </c>
      <c r="BS17" s="12"/>
      <c r="BT17" s="112">
        <f>'Notas del Moodle'!AW18</f>
        <v>2</v>
      </c>
      <c r="BU17" s="105"/>
      <c r="BV17" s="122">
        <f>'Notas del Moodle'!AX18</f>
        <v>4</v>
      </c>
      <c r="BW17" s="105"/>
      <c r="BX17" s="122" t="str">
        <f>'Notas del Moodle'!AY18</f>
        <v>3,8</v>
      </c>
      <c r="BY17" s="105"/>
      <c r="BZ17" s="56" t="str">
        <f>'Notas del Moodle'!AZ18</f>
        <v>5,88</v>
      </c>
      <c r="CA17" s="122">
        <f>'Notas del Moodle'!BA18</f>
        <v>5</v>
      </c>
      <c r="CB17" s="105"/>
      <c r="CC17" s="122" t="str">
        <f>'Notas del Moodle'!BB18</f>
        <v>4,33</v>
      </c>
      <c r="CD17" s="105"/>
      <c r="CE17" s="11" t="str">
        <f>'Notas del Moodle'!BC18</f>
        <v>3,73</v>
      </c>
      <c r="CF17" s="11" t="str">
        <f>'Notas del Moodle'!BD18</f>
        <v>6,73</v>
      </c>
      <c r="CG17" s="11" t="str">
        <f>'Notas del Moodle'!BE18</f>
        <v>-</v>
      </c>
      <c r="CH17" s="11">
        <f>'Notas del Moodle'!BF18</f>
        <v>9</v>
      </c>
      <c r="CI17" s="11" t="str">
        <f>'Notas del Moodle'!BG18</f>
        <v>-</v>
      </c>
      <c r="CJ17" s="23" t="str">
        <f>'Notas del Moodle'!BH18</f>
        <v>9,43</v>
      </c>
      <c r="CK17" s="12"/>
      <c r="CL17" s="112">
        <f>'Notas del Moodle'!BJ18</f>
        <v>5</v>
      </c>
      <c r="CM17" s="105"/>
      <c r="CN17" s="122" t="str">
        <f>'Notas del Moodle'!BK18</f>
        <v>2,36</v>
      </c>
      <c r="CO17" s="105"/>
      <c r="CP17" s="11" t="str">
        <f>'Notas del Moodle'!BL18</f>
        <v>3,68</v>
      </c>
      <c r="CQ17" s="122" t="str">
        <f>'Notas del Moodle'!BM18</f>
        <v>6,75</v>
      </c>
      <c r="CR17" s="105"/>
      <c r="CS17" s="11" t="str">
        <f>'Notas del Moodle'!BN18</f>
        <v>3,38</v>
      </c>
      <c r="CT17" s="11" t="str">
        <f>'Notas del Moodle'!BO18</f>
        <v>4,94</v>
      </c>
      <c r="CU17" s="11" t="str">
        <f>'Notas del Moodle'!BP18</f>
        <v>-</v>
      </c>
      <c r="CV17" s="11">
        <f>'Notas del Moodle'!BQ18</f>
        <v>8</v>
      </c>
      <c r="CW17" s="11" t="s">
        <v>34</v>
      </c>
      <c r="CX17" s="23" t="str">
        <f>'Notas del Moodle'!BS18</f>
        <v>7,34</v>
      </c>
      <c r="CY17" s="12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</row>
    <row r="18" spans="1:117" s="3" customFormat="1" ht="14.4" customHeight="1" x14ac:dyDescent="0.3">
      <c r="A18" s="34">
        <v>12</v>
      </c>
      <c r="B18" s="21" t="s">
        <v>254</v>
      </c>
      <c r="C18" s="18" t="s">
        <v>255</v>
      </c>
      <c r="D18" s="115">
        <f>'Notas del Moodle'!C19</f>
        <v>10</v>
      </c>
      <c r="E18" s="175"/>
      <c r="F18" s="13" t="str">
        <f>'Notas del Moodle'!D19</f>
        <v>1,2</v>
      </c>
      <c r="G18" s="121" t="str">
        <f>'Notas del Moodle'!E19</f>
        <v>9,5</v>
      </c>
      <c r="H18" s="175"/>
      <c r="I18" s="13" t="str">
        <f>'Notas del Moodle'!F19</f>
        <v>1,24</v>
      </c>
      <c r="J18" s="121">
        <f>'Notas del Moodle'!G19</f>
        <v>3</v>
      </c>
      <c r="K18" s="175"/>
      <c r="L18" s="121" t="str">
        <f>'Notas del Moodle'!H19</f>
        <v>6,5</v>
      </c>
      <c r="M18" s="175"/>
      <c r="N18" s="13" t="str">
        <f>'Notas del Moodle'!I19</f>
        <v>1,43</v>
      </c>
      <c r="O18" s="121">
        <f>'Notas del Moodle'!J19</f>
        <v>7</v>
      </c>
      <c r="P18" s="175"/>
      <c r="Q18" s="121">
        <f>'Notas del Moodle'!K19</f>
        <v>1</v>
      </c>
      <c r="R18" s="175"/>
      <c r="S18" s="13" t="str">
        <f>'Notas del Moodle'!L19</f>
        <v>1,2</v>
      </c>
      <c r="T18" s="121">
        <f>'Notas del Moodle'!M19</f>
        <v>1</v>
      </c>
      <c r="U18" s="175"/>
      <c r="V18" s="121">
        <f>'Notas del Moodle'!N19</f>
        <v>9</v>
      </c>
      <c r="W18" s="175"/>
      <c r="X18" s="13" t="str">
        <f>'Notas del Moodle'!O20</f>
        <v>1,98</v>
      </c>
      <c r="Y18" s="121">
        <f>'Notas del Moodle'!P19</f>
        <v>9</v>
      </c>
      <c r="Z18" s="175"/>
      <c r="AA18" s="13" t="str">
        <f>'Notas del Moodle'!Q19</f>
        <v>2,25</v>
      </c>
      <c r="AB18" s="13" t="str">
        <f>'Notas del Moodle'!R19</f>
        <v>6,52</v>
      </c>
      <c r="AC18" s="13" t="str">
        <f>'Notas del Moodle'!S19</f>
        <v>-</v>
      </c>
      <c r="AD18" s="13">
        <f>'Notas del Moodle'!T19</f>
        <v>10</v>
      </c>
      <c r="AE18" s="13" t="str">
        <f>'Notas del Moodle'!U19</f>
        <v>-</v>
      </c>
      <c r="AF18" s="24" t="str">
        <f>'Notas del Moodle'!V19</f>
        <v>9,52</v>
      </c>
      <c r="AG18" s="14"/>
      <c r="AH18" s="115">
        <f>'Notas del Moodle'!X19</f>
        <v>10</v>
      </c>
      <c r="AI18" s="175"/>
      <c r="AJ18" s="13">
        <f>'Notas del Moodle'!Y19</f>
        <v>1</v>
      </c>
      <c r="AK18" s="121">
        <f>'Notas del Moodle'!Z19</f>
        <v>1</v>
      </c>
      <c r="AL18" s="175"/>
      <c r="AM18" s="121" t="str">
        <f>'Notas del Moodle'!AA19</f>
        <v>4,5</v>
      </c>
      <c r="AN18" s="175"/>
      <c r="AO18" s="121">
        <f>'Notas del Moodle'!AB19</f>
        <v>3</v>
      </c>
      <c r="AP18" s="175"/>
      <c r="AQ18" s="121">
        <f>'Notas del Moodle'!AC19</f>
        <v>1</v>
      </c>
      <c r="AR18" s="175"/>
      <c r="AS18" s="13" t="str">
        <f>'Notas del Moodle'!AD19</f>
        <v>3,33</v>
      </c>
      <c r="AT18" s="121">
        <f>'Notas del Moodle'!AE19</f>
        <v>3</v>
      </c>
      <c r="AU18" s="175"/>
      <c r="AV18" s="121">
        <f>'Notas del Moodle'!AF19</f>
        <v>4</v>
      </c>
      <c r="AW18" s="175"/>
      <c r="AX18" s="121" t="str">
        <f>'Notas del Moodle'!AG19</f>
        <v>1,75</v>
      </c>
      <c r="AY18" s="175"/>
      <c r="AZ18" s="13" t="str">
        <f>'Notas del Moodle'!AH19</f>
        <v>2,19</v>
      </c>
      <c r="BA18" s="121">
        <f>'Notas del Moodle'!AI19</f>
        <v>7</v>
      </c>
      <c r="BB18" s="175"/>
      <c r="BC18" s="172" t="str">
        <f>'Notas del Moodle'!AJ19</f>
        <v>2,33</v>
      </c>
      <c r="BD18" s="173"/>
      <c r="BE18" s="13" t="str">
        <f>'Notas del Moodle'!AK19</f>
        <v>1,87</v>
      </c>
      <c r="BF18" s="121" t="str">
        <f>'Notas del Moodle'!AL19</f>
        <v>7,5</v>
      </c>
      <c r="BG18" s="175"/>
      <c r="BH18" s="13" t="str">
        <f>'Notas del Moodle'!AM19</f>
        <v>0,38</v>
      </c>
      <c r="BI18" s="121">
        <f>'Notas del Moodle'!AN19</f>
        <v>6</v>
      </c>
      <c r="BJ18" s="175"/>
      <c r="BK18" s="121">
        <f>'Notas del Moodle'!AO19</f>
        <v>4</v>
      </c>
      <c r="BL18" s="175"/>
      <c r="BM18" s="13" t="str">
        <f>'Notas del Moodle'!AP19</f>
        <v>0,5</v>
      </c>
      <c r="BN18" s="13" t="str">
        <f>'Notas del Moodle'!AQ19</f>
        <v>6,49</v>
      </c>
      <c r="BO18" s="13" t="str">
        <f>'Notas del Moodle'!AR19</f>
        <v>-</v>
      </c>
      <c r="BP18" s="13">
        <f>'Notas del Moodle'!AS19</f>
        <v>10</v>
      </c>
      <c r="BQ18" s="13" t="str">
        <f>'Notas del Moodle'!AT19</f>
        <v>-</v>
      </c>
      <c r="BR18" s="24" t="str">
        <f>'Notas del Moodle'!AU19</f>
        <v>9,49</v>
      </c>
      <c r="BS18" s="13"/>
      <c r="BT18" s="115">
        <f>'Notas del Moodle'!AW19</f>
        <v>2</v>
      </c>
      <c r="BU18" s="175"/>
      <c r="BV18" s="121">
        <f>'Notas del Moodle'!AX19</f>
        <v>4</v>
      </c>
      <c r="BW18" s="175"/>
      <c r="BX18" s="121" t="str">
        <f>'Notas del Moodle'!AY19</f>
        <v>3,8</v>
      </c>
      <c r="BY18" s="175"/>
      <c r="BZ18" s="56" t="str">
        <f>'Notas del Moodle'!AZ19</f>
        <v>5,88</v>
      </c>
      <c r="CA18" s="121">
        <f>'Notas del Moodle'!BA19</f>
        <v>5</v>
      </c>
      <c r="CB18" s="175"/>
      <c r="CC18" s="121" t="str">
        <f>'Notas del Moodle'!BB19</f>
        <v>4,83</v>
      </c>
      <c r="CD18" s="175"/>
      <c r="CE18" s="13" t="str">
        <f>'Notas del Moodle'!BC19</f>
        <v>3,93</v>
      </c>
      <c r="CF18" s="56" t="str">
        <f>'Notas del Moodle'!BD19</f>
        <v>6,87</v>
      </c>
      <c r="CG18" s="56" t="str">
        <f>'Notas del Moodle'!BE19</f>
        <v>-</v>
      </c>
      <c r="CH18" s="56">
        <f>'Notas del Moodle'!BF19</f>
        <v>10</v>
      </c>
      <c r="CI18" s="56" t="str">
        <f>'Notas del Moodle'!BG19</f>
        <v>-</v>
      </c>
      <c r="CJ18" s="64" t="str">
        <f>'Notas del Moodle'!BH19</f>
        <v>9,87</v>
      </c>
      <c r="CK18" s="57"/>
      <c r="CL18" s="115">
        <f>'Notas del Moodle'!BJ19</f>
        <v>6</v>
      </c>
      <c r="CM18" s="175"/>
      <c r="CN18" s="121" t="str">
        <f>'Notas del Moodle'!BK19</f>
        <v>2,57</v>
      </c>
      <c r="CO18" s="175"/>
      <c r="CP18" s="56" t="str">
        <f>'Notas del Moodle'!BL19</f>
        <v>4,29</v>
      </c>
      <c r="CQ18" s="121" t="str">
        <f>'Notas del Moodle'!BM19</f>
        <v>9,5</v>
      </c>
      <c r="CR18" s="175"/>
      <c r="CS18" s="56" t="str">
        <f>'Notas del Moodle'!BN19</f>
        <v>4,75</v>
      </c>
      <c r="CT18" s="56" t="str">
        <f>'Notas del Moodle'!BO19</f>
        <v>6,33</v>
      </c>
      <c r="CU18" s="56" t="str">
        <f>'Notas del Moodle'!BP19</f>
        <v>-</v>
      </c>
      <c r="CV18" s="56">
        <f>'Notas del Moodle'!BQ19</f>
        <v>10</v>
      </c>
      <c r="CW18" s="56" t="s">
        <v>34</v>
      </c>
      <c r="CX18" s="64" t="str">
        <f>'Notas del Moodle'!BS19</f>
        <v>9,33</v>
      </c>
      <c r="CY18" s="57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</row>
    <row r="19" spans="1:117" s="3" customFormat="1" ht="14.4" customHeight="1" x14ac:dyDescent="0.3">
      <c r="A19" s="34">
        <v>13</v>
      </c>
      <c r="B19" s="20" t="s">
        <v>269</v>
      </c>
      <c r="C19" s="17" t="s">
        <v>270</v>
      </c>
      <c r="D19" s="112">
        <f>'Notas del Moodle'!C20</f>
        <v>10</v>
      </c>
      <c r="E19" s="105"/>
      <c r="F19" s="11" t="str">
        <f>'Notas del Moodle'!D20</f>
        <v>1,2</v>
      </c>
      <c r="G19" s="122">
        <f>'Notas del Moodle'!E20</f>
        <v>7</v>
      </c>
      <c r="H19" s="105"/>
      <c r="I19" s="11" t="str">
        <f>'Notas del Moodle'!F20</f>
        <v>0,91</v>
      </c>
      <c r="J19" s="122">
        <f>'Notas del Moodle'!G20</f>
        <v>3</v>
      </c>
      <c r="K19" s="105"/>
      <c r="L19" s="122">
        <f>'Notas del Moodle'!H20</f>
        <v>7</v>
      </c>
      <c r="M19" s="105"/>
      <c r="N19" s="11" t="str">
        <f>'Notas del Moodle'!I20</f>
        <v>1,5</v>
      </c>
      <c r="O19" s="122">
        <f>'Notas del Moodle'!J20</f>
        <v>9</v>
      </c>
      <c r="P19" s="105"/>
      <c r="Q19" s="122">
        <f>'Notas del Moodle'!K20</f>
        <v>1</v>
      </c>
      <c r="R19" s="105"/>
      <c r="S19" s="11" t="str">
        <f>'Notas del Moodle'!L20</f>
        <v>1,5</v>
      </c>
      <c r="T19" s="122" t="str">
        <f>'Notas del Moodle'!M20</f>
        <v>0,9</v>
      </c>
      <c r="U19" s="105"/>
      <c r="V19" s="122">
        <f>'Notas del Moodle'!N20</f>
        <v>9</v>
      </c>
      <c r="W19" s="105"/>
      <c r="X19" s="11" t="str">
        <f>'Notas del Moodle'!O21</f>
        <v>1,98</v>
      </c>
      <c r="Y19" s="122">
        <f>'Notas del Moodle'!P20</f>
        <v>10</v>
      </c>
      <c r="Z19" s="105"/>
      <c r="AA19" s="11" t="str">
        <f>'Notas del Moodle'!Q20</f>
        <v>2,5</v>
      </c>
      <c r="AB19" s="11" t="str">
        <f>'Notas del Moodle'!R20</f>
        <v>6,71</v>
      </c>
      <c r="AC19" s="11" t="str">
        <f>'Notas del Moodle'!S20</f>
        <v>-</v>
      </c>
      <c r="AD19" s="11">
        <f>'Notas del Moodle'!T20</f>
        <v>10</v>
      </c>
      <c r="AE19" s="11" t="str">
        <f>'Notas del Moodle'!U20</f>
        <v>-</v>
      </c>
      <c r="AF19" s="23" t="str">
        <f>'Notas del Moodle'!V20</f>
        <v>9,71</v>
      </c>
      <c r="AG19" s="12"/>
      <c r="AH19" s="130" t="str">
        <f>'Notas del Moodle'!X20</f>
        <v>-</v>
      </c>
      <c r="AI19" s="174"/>
      <c r="AJ19" s="11" t="str">
        <f>'Notas del Moodle'!Y20</f>
        <v>-</v>
      </c>
      <c r="AK19" s="120" t="str">
        <f>'Notas del Moodle'!Z20</f>
        <v>-</v>
      </c>
      <c r="AL19" s="174"/>
      <c r="AM19" s="120" t="str">
        <f>'Notas del Moodle'!AA20</f>
        <v>-</v>
      </c>
      <c r="AN19" s="174"/>
      <c r="AO19" s="120" t="str">
        <f>'Notas del Moodle'!AB20</f>
        <v>-</v>
      </c>
      <c r="AP19" s="174"/>
      <c r="AQ19" s="120" t="str">
        <f>'Notas del Moodle'!AC20</f>
        <v>-</v>
      </c>
      <c r="AR19" s="174"/>
      <c r="AS19" s="11" t="str">
        <f>'Notas del Moodle'!AD20</f>
        <v>-</v>
      </c>
      <c r="AT19" s="120" t="str">
        <f>'Notas del Moodle'!AE20</f>
        <v>-</v>
      </c>
      <c r="AU19" s="174"/>
      <c r="AV19" s="120" t="str">
        <f>'Notas del Moodle'!AF20</f>
        <v>-</v>
      </c>
      <c r="AW19" s="174"/>
      <c r="AX19" s="120" t="str">
        <f>'Notas del Moodle'!AG20</f>
        <v>-</v>
      </c>
      <c r="AY19" s="174"/>
      <c r="AZ19" s="11" t="str">
        <f>'Notas del Moodle'!AH20</f>
        <v>-</v>
      </c>
      <c r="BA19" s="120" t="str">
        <f>'Notas del Moodle'!AI20</f>
        <v>-</v>
      </c>
      <c r="BB19" s="174"/>
      <c r="BC19" s="120" t="str">
        <f>'Notas del Moodle'!AJ20</f>
        <v>-</v>
      </c>
      <c r="BD19" s="174"/>
      <c r="BE19" s="11" t="str">
        <f>'Notas del Moodle'!AK20</f>
        <v>-</v>
      </c>
      <c r="BF19" s="120" t="str">
        <f>'Notas del Moodle'!AL20</f>
        <v>-</v>
      </c>
      <c r="BG19" s="174"/>
      <c r="BH19" s="11" t="str">
        <f>'Notas del Moodle'!AM20</f>
        <v>-</v>
      </c>
      <c r="BI19" s="120" t="str">
        <f>'Notas del Moodle'!AN20</f>
        <v>-</v>
      </c>
      <c r="BJ19" s="174"/>
      <c r="BK19" s="120" t="str">
        <f>'Notas del Moodle'!AO20</f>
        <v>-</v>
      </c>
      <c r="BL19" s="174"/>
      <c r="BM19" s="11" t="str">
        <f>'Notas del Moodle'!AP20</f>
        <v>-</v>
      </c>
      <c r="BN19" s="11">
        <f>'Notas del Moodle'!AQ20</f>
        <v>0</v>
      </c>
      <c r="BO19" s="11" t="str">
        <f>'Notas del Moodle'!AR20</f>
        <v>-</v>
      </c>
      <c r="BP19" s="11" t="str">
        <f>'Notas del Moodle'!AS20</f>
        <v>-</v>
      </c>
      <c r="BQ19" s="11" t="str">
        <f>'Notas del Moodle'!AT20</f>
        <v>-</v>
      </c>
      <c r="BR19" s="61" t="s">
        <v>35</v>
      </c>
      <c r="BS19" s="12" t="str">
        <f>'Notas del Moodle'!AV20</f>
        <v>CV</v>
      </c>
      <c r="BT19" s="112">
        <f>'Notas del Moodle'!AW20</f>
        <v>2</v>
      </c>
      <c r="BU19" s="105"/>
      <c r="BV19" s="122" t="str">
        <f>'Notas del Moodle'!AX20</f>
        <v>3,5</v>
      </c>
      <c r="BW19" s="105"/>
      <c r="BX19" s="122" t="str">
        <f>'Notas del Moodle'!AY20</f>
        <v>3,6</v>
      </c>
      <c r="BY19" s="105"/>
      <c r="BZ19" s="56" t="str">
        <f>'Notas del Moodle'!AZ20</f>
        <v>5,46</v>
      </c>
      <c r="CA19" s="122">
        <f>'Notas del Moodle'!BA20</f>
        <v>5</v>
      </c>
      <c r="CB19" s="105"/>
      <c r="CC19" s="122" t="str">
        <f>'Notas del Moodle'!BB20</f>
        <v>4,83</v>
      </c>
      <c r="CD19" s="105"/>
      <c r="CE19" s="11" t="str">
        <f>'Notas del Moodle'!BC20</f>
        <v>3,93</v>
      </c>
      <c r="CF19" s="11" t="str">
        <f>'Notas del Moodle'!BD20</f>
        <v>6,57</v>
      </c>
      <c r="CG19" s="11" t="str">
        <f>'Notas del Moodle'!BE20</f>
        <v>-</v>
      </c>
      <c r="CH19" s="11">
        <f>'Notas del Moodle'!BF20</f>
        <v>10</v>
      </c>
      <c r="CI19" s="11" t="str">
        <f>'Notas del Moodle'!BG20</f>
        <v>-</v>
      </c>
      <c r="CJ19" s="23" t="str">
        <f>'Notas del Moodle'!BH20</f>
        <v>9,57</v>
      </c>
      <c r="CK19" s="12"/>
      <c r="CL19" s="112">
        <f>'Notas del Moodle'!BJ20</f>
        <v>6</v>
      </c>
      <c r="CM19" s="105"/>
      <c r="CN19" s="122" t="str">
        <f>'Notas del Moodle'!BK20</f>
        <v>2,36</v>
      </c>
      <c r="CO19" s="105"/>
      <c r="CP19" s="11" t="str">
        <f>'Notas del Moodle'!BL20</f>
        <v>4,18</v>
      </c>
      <c r="CQ19" s="122" t="str">
        <f>'Notas del Moodle'!BM20</f>
        <v>8,75</v>
      </c>
      <c r="CR19" s="105"/>
      <c r="CS19" s="11" t="str">
        <f>'Notas del Moodle'!BN20</f>
        <v>4,38</v>
      </c>
      <c r="CT19" s="11" t="str">
        <f>'Notas del Moodle'!BO20</f>
        <v>5,99</v>
      </c>
      <c r="CU19" s="11" t="str">
        <f>'Notas del Moodle'!BP20</f>
        <v>-</v>
      </c>
      <c r="CV19" s="11">
        <f>'Notas del Moodle'!BQ20</f>
        <v>10</v>
      </c>
      <c r="CW19" s="11" t="s">
        <v>34</v>
      </c>
      <c r="CX19" s="23" t="str">
        <f>'Notas del Moodle'!BS20</f>
        <v>8,99</v>
      </c>
      <c r="CY19" s="12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</row>
    <row r="20" spans="1:117" s="3" customFormat="1" ht="15" customHeight="1" thickBot="1" x14ac:dyDescent="0.35">
      <c r="A20" s="34">
        <v>14</v>
      </c>
      <c r="B20" s="21" t="s">
        <v>280</v>
      </c>
      <c r="C20" s="18" t="s">
        <v>281</v>
      </c>
      <c r="D20" s="113">
        <f>'Notas del Moodle'!C21</f>
        <v>10</v>
      </c>
      <c r="E20" s="171"/>
      <c r="F20" s="15" t="str">
        <f>'Notas del Moodle'!D21</f>
        <v>1,2</v>
      </c>
      <c r="G20" s="118" t="str">
        <f>'Notas del Moodle'!E21</f>
        <v>7,5</v>
      </c>
      <c r="H20" s="171"/>
      <c r="I20" s="15" t="str">
        <f>'Notas del Moodle'!F21</f>
        <v>0,98</v>
      </c>
      <c r="J20" s="118">
        <f>'Notas del Moodle'!G21</f>
        <v>3</v>
      </c>
      <c r="K20" s="171"/>
      <c r="L20" s="118">
        <f>'Notas del Moodle'!H21</f>
        <v>7</v>
      </c>
      <c r="M20" s="171"/>
      <c r="N20" s="15" t="str">
        <f>'Notas del Moodle'!I21</f>
        <v>1,5</v>
      </c>
      <c r="O20" s="118">
        <f>'Notas del Moodle'!J21</f>
        <v>9</v>
      </c>
      <c r="P20" s="171"/>
      <c r="Q20" s="118" t="str">
        <f>'Notas del Moodle'!K21</f>
        <v>0,9</v>
      </c>
      <c r="R20" s="171"/>
      <c r="S20" s="15" t="str">
        <f>'Notas del Moodle'!L21</f>
        <v>1,49</v>
      </c>
      <c r="T20" s="118" t="str">
        <f>'Notas del Moodle'!M21</f>
        <v>0,9</v>
      </c>
      <c r="U20" s="171"/>
      <c r="V20" s="118">
        <f>'Notas del Moodle'!N21</f>
        <v>9</v>
      </c>
      <c r="W20" s="171"/>
      <c r="X20" s="15">
        <f>'Notas del Moodle'!O22</f>
        <v>0</v>
      </c>
      <c r="Y20" s="118">
        <f>'Notas del Moodle'!P21</f>
        <v>10</v>
      </c>
      <c r="Z20" s="171"/>
      <c r="AA20" s="15" t="str">
        <f>'Notas del Moodle'!Q21</f>
        <v>2,5</v>
      </c>
      <c r="AB20" s="15" t="str">
        <f>'Notas del Moodle'!R21</f>
        <v>6,76</v>
      </c>
      <c r="AC20" s="15" t="str">
        <f>'Notas del Moodle'!S21</f>
        <v>-</v>
      </c>
      <c r="AD20" s="15">
        <f>'Notas del Moodle'!T21</f>
        <v>10</v>
      </c>
      <c r="AE20" s="15" t="str">
        <f>'Notas del Moodle'!U21</f>
        <v>-</v>
      </c>
      <c r="AF20" s="25" t="str">
        <f>'Notas del Moodle'!V21</f>
        <v>9,76</v>
      </c>
      <c r="AG20" s="16"/>
      <c r="AH20" s="113">
        <f>'Notas del Moodle'!X21</f>
        <v>9</v>
      </c>
      <c r="AI20" s="171"/>
      <c r="AJ20" s="15" t="str">
        <f>'Notas del Moodle'!Y21</f>
        <v>0,9</v>
      </c>
      <c r="AK20" s="118">
        <f>'Notas del Moodle'!Z21</f>
        <v>1</v>
      </c>
      <c r="AL20" s="171"/>
      <c r="AM20" s="118" t="str">
        <f>'Notas del Moodle'!AA21</f>
        <v>4,25</v>
      </c>
      <c r="AN20" s="171"/>
      <c r="AO20" s="118">
        <f>'Notas del Moodle'!AB21</f>
        <v>3</v>
      </c>
      <c r="AP20" s="171"/>
      <c r="AQ20" s="118">
        <f>'Notas del Moodle'!AC21</f>
        <v>1</v>
      </c>
      <c r="AR20" s="171"/>
      <c r="AS20" s="15" t="str">
        <f>'Notas del Moodle'!AD21</f>
        <v>3,24</v>
      </c>
      <c r="AT20" s="118">
        <f>'Notas del Moodle'!AE21</f>
        <v>2</v>
      </c>
      <c r="AU20" s="171"/>
      <c r="AV20" s="118">
        <f>'Notas del Moodle'!AF21</f>
        <v>4</v>
      </c>
      <c r="AW20" s="171"/>
      <c r="AX20" s="118" t="str">
        <f>'Notas del Moodle'!AG21</f>
        <v>2,25</v>
      </c>
      <c r="AY20" s="171"/>
      <c r="AZ20" s="15" t="str">
        <f>'Notas del Moodle'!AH21</f>
        <v>2,06</v>
      </c>
      <c r="BA20" s="118">
        <f>'Notas del Moodle'!AI21</f>
        <v>7</v>
      </c>
      <c r="BB20" s="171"/>
      <c r="BC20" s="172" t="str">
        <f>'Notas del Moodle'!AJ21</f>
        <v>2,67</v>
      </c>
      <c r="BD20" s="173"/>
      <c r="BE20" s="15" t="str">
        <f>'Notas del Moodle'!AK21</f>
        <v>1,93</v>
      </c>
      <c r="BF20" s="118" t="str">
        <f>'Notas del Moodle'!AL21</f>
        <v>7,5</v>
      </c>
      <c r="BG20" s="171"/>
      <c r="BH20" s="15" t="str">
        <f>'Notas del Moodle'!AM21</f>
        <v>0,38</v>
      </c>
      <c r="BI20" s="118">
        <f>'Notas del Moodle'!AN21</f>
        <v>6</v>
      </c>
      <c r="BJ20" s="171"/>
      <c r="BK20" s="118" t="str">
        <f>'Notas del Moodle'!AO21</f>
        <v>2,4</v>
      </c>
      <c r="BL20" s="171"/>
      <c r="BM20" s="15" t="str">
        <f>'Notas del Moodle'!AP21</f>
        <v>0,42</v>
      </c>
      <c r="BN20" s="15" t="str">
        <f>'Notas del Moodle'!AQ21</f>
        <v>6,25</v>
      </c>
      <c r="BO20" s="15" t="str">
        <f>'Notas del Moodle'!AR21</f>
        <v>-</v>
      </c>
      <c r="BP20" s="15">
        <f>'Notas del Moodle'!AS21</f>
        <v>8</v>
      </c>
      <c r="BQ20" s="15" t="str">
        <f>'Notas del Moodle'!AT21</f>
        <v>-</v>
      </c>
      <c r="BR20" s="25" t="str">
        <f>'Notas del Moodle'!AU21</f>
        <v>8,65</v>
      </c>
      <c r="BS20" s="16"/>
      <c r="BT20" s="113">
        <f>'Notas del Moodle'!AW21</f>
        <v>2</v>
      </c>
      <c r="BU20" s="171"/>
      <c r="BV20" s="118">
        <f>'Notas del Moodle'!AX21</f>
        <v>2</v>
      </c>
      <c r="BW20" s="171"/>
      <c r="BX20" s="118" t="str">
        <f>'Notas del Moodle'!AY21</f>
        <v>3,8</v>
      </c>
      <c r="BY20" s="171"/>
      <c r="BZ20" s="62" t="str">
        <f>'Notas del Moodle'!AZ21</f>
        <v>4,68</v>
      </c>
      <c r="CA20" s="118">
        <f>'Notas del Moodle'!BA21</f>
        <v>5</v>
      </c>
      <c r="CB20" s="171"/>
      <c r="CC20" s="118">
        <f>'Notas del Moodle'!BB21</f>
        <v>4</v>
      </c>
      <c r="CD20" s="171"/>
      <c r="CE20" s="15" t="str">
        <f>'Notas del Moodle'!BC21</f>
        <v>3,6</v>
      </c>
      <c r="CF20" s="62" t="str">
        <f>'Notas del Moodle'!BD21</f>
        <v>5,8</v>
      </c>
      <c r="CG20" s="62" t="str">
        <f>'Notas del Moodle'!BE21</f>
        <v>-</v>
      </c>
      <c r="CH20" s="62">
        <f>'Notas del Moodle'!BF21</f>
        <v>10</v>
      </c>
      <c r="CI20" s="62" t="str">
        <f>'Notas del Moodle'!BG21</f>
        <v>-</v>
      </c>
      <c r="CJ20" s="63" t="str">
        <f>'Notas del Moodle'!BH21</f>
        <v>8,8</v>
      </c>
      <c r="CK20" s="60"/>
      <c r="CL20" s="113">
        <f>'Notas del Moodle'!BJ21</f>
        <v>5</v>
      </c>
      <c r="CM20" s="171"/>
      <c r="CN20" s="118" t="str">
        <f>'Notas del Moodle'!BK21</f>
        <v>2,57</v>
      </c>
      <c r="CO20" s="171"/>
      <c r="CP20" s="62" t="str">
        <f>'Notas del Moodle'!BL21</f>
        <v>3,79</v>
      </c>
      <c r="CQ20" s="118" t="str">
        <f>'Notas del Moodle'!BM21</f>
        <v>5,25</v>
      </c>
      <c r="CR20" s="171"/>
      <c r="CS20" s="62" t="str">
        <f>'Notas del Moodle'!BN21</f>
        <v>2,63</v>
      </c>
      <c r="CT20" s="62" t="str">
        <f>'Notas del Moodle'!BO21</f>
        <v>4,49</v>
      </c>
      <c r="CU20" s="62" t="str">
        <f>'Notas del Moodle'!BP21</f>
        <v>-</v>
      </c>
      <c r="CV20" s="62" t="str">
        <f>'Notas del Moodle'!BQ21</f>
        <v>8,5</v>
      </c>
      <c r="CW20" s="62" t="s">
        <v>34</v>
      </c>
      <c r="CX20" s="63" t="str">
        <f>'Notas del Moodle'!BS21</f>
        <v>7,04</v>
      </c>
      <c r="CY20" s="6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</row>
    <row r="21" spans="1:117" x14ac:dyDescent="0.3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26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26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26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26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</row>
    <row r="22" spans="1:117" x14ac:dyDescent="0.3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26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26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26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26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</row>
    <row r="23" spans="1:117" x14ac:dyDescent="0.3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26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26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26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26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</row>
    <row r="24" spans="1:117" ht="15" thickBot="1" x14ac:dyDescent="0.35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26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26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26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26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</row>
    <row r="25" spans="1:117" x14ac:dyDescent="0.3">
      <c r="B25" t="s">
        <v>328</v>
      </c>
      <c r="D25" s="10"/>
      <c r="E25" s="161" t="s">
        <v>337</v>
      </c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3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26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26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26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</row>
    <row r="26" spans="1:117" ht="15" thickBot="1" x14ac:dyDescent="0.35">
      <c r="D26" s="10"/>
      <c r="E26" s="48"/>
      <c r="F26" s="49"/>
      <c r="G26" s="50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1"/>
      <c r="W26" s="10"/>
      <c r="X26" s="10"/>
      <c r="Y26" s="10"/>
      <c r="Z26" s="10"/>
      <c r="AA26" s="10"/>
      <c r="AB26" s="10"/>
      <c r="AC26" s="10"/>
      <c r="AD26" s="10"/>
      <c r="AE26" s="10"/>
      <c r="AF26" s="26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26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26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26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</row>
    <row r="27" spans="1:117" ht="15" thickBot="1" x14ac:dyDescent="0.35">
      <c r="B27" t="s">
        <v>329</v>
      </c>
      <c r="D27" s="10"/>
      <c r="E27" s="48"/>
      <c r="F27" s="165" t="s">
        <v>333</v>
      </c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7"/>
      <c r="V27" s="51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26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26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26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</row>
    <row r="28" spans="1:117" x14ac:dyDescent="0.3">
      <c r="D28" s="10"/>
      <c r="E28" s="48"/>
      <c r="F28" s="4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42"/>
      <c r="V28" s="51"/>
      <c r="W28" s="10"/>
      <c r="X28" s="10"/>
      <c r="Y28" s="10"/>
      <c r="Z28" s="10"/>
      <c r="AA28" s="10"/>
      <c r="AB28" s="10"/>
      <c r="AC28" s="10"/>
      <c r="AD28" s="10"/>
      <c r="AE28" s="10"/>
      <c r="AF28" s="26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26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26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26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</row>
    <row r="29" spans="1:117" x14ac:dyDescent="0.3">
      <c r="D29" s="10"/>
      <c r="E29" s="48"/>
      <c r="F29" s="41"/>
      <c r="G29" s="116" t="s">
        <v>34</v>
      </c>
      <c r="H29" s="117"/>
      <c r="I29" s="10"/>
      <c r="J29" s="19" t="s">
        <v>331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42"/>
      <c r="V29" s="51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26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26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26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</row>
    <row r="30" spans="1:117" x14ac:dyDescent="0.3">
      <c r="D30" s="10"/>
      <c r="E30" s="48"/>
      <c r="F30" s="41"/>
      <c r="G30" s="10"/>
      <c r="H30" s="10"/>
      <c r="I30" s="10"/>
      <c r="J30" s="1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42"/>
      <c r="V30" s="51"/>
      <c r="W30" s="10"/>
      <c r="X30" s="10"/>
      <c r="Y30" s="10"/>
      <c r="Z30" s="10"/>
      <c r="AA30" s="10"/>
      <c r="AB30" s="10"/>
      <c r="AC30" s="10"/>
      <c r="AD30" s="10"/>
      <c r="AE30" s="10"/>
      <c r="AF30" s="26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26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26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26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</row>
    <row r="31" spans="1:117" x14ac:dyDescent="0.3">
      <c r="D31" s="10"/>
      <c r="E31" s="48"/>
      <c r="F31" s="41"/>
      <c r="G31" s="128">
        <v>0</v>
      </c>
      <c r="H31" s="105"/>
      <c r="I31" s="10"/>
      <c r="J31" s="19" t="s">
        <v>330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42"/>
      <c r="V31" s="51"/>
      <c r="W31" s="10"/>
      <c r="X31" s="10"/>
      <c r="Y31" s="10"/>
      <c r="Z31" s="10"/>
      <c r="AA31" s="10"/>
      <c r="AB31" s="10"/>
      <c r="AC31" s="10"/>
      <c r="AD31" s="10"/>
      <c r="AE31" s="10"/>
      <c r="AF31" s="26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26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26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26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</row>
    <row r="32" spans="1:117" x14ac:dyDescent="0.3">
      <c r="D32" s="10"/>
      <c r="E32" s="48"/>
      <c r="F32" s="41"/>
      <c r="G32" s="10" t="s">
        <v>34</v>
      </c>
      <c r="H32" s="10"/>
      <c r="I32" s="10"/>
      <c r="J32" s="1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42"/>
      <c r="V32" s="51"/>
      <c r="W32" s="10"/>
      <c r="X32" s="10"/>
      <c r="Y32" s="10"/>
      <c r="Z32" s="10"/>
      <c r="AA32" s="10"/>
      <c r="AB32" s="10"/>
      <c r="AC32" s="10"/>
      <c r="AD32" s="10"/>
      <c r="AE32" s="10"/>
      <c r="AF32" s="26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26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26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26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</row>
    <row r="33" spans="4:117" x14ac:dyDescent="0.3">
      <c r="D33" s="10"/>
      <c r="E33" s="48"/>
      <c r="F33" s="41"/>
      <c r="G33" s="164">
        <v>0</v>
      </c>
      <c r="H33" s="164"/>
      <c r="I33" s="10"/>
      <c r="J33" s="19" t="s">
        <v>332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42"/>
      <c r="V33" s="51"/>
      <c r="W33" s="10"/>
      <c r="X33" s="10"/>
      <c r="Y33" s="10"/>
      <c r="Z33" s="10"/>
      <c r="AA33" s="10"/>
      <c r="AB33" s="10"/>
      <c r="AC33" s="10"/>
      <c r="AD33" s="10"/>
      <c r="AE33" s="10"/>
      <c r="AF33" s="26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26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26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26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</row>
    <row r="34" spans="4:117" ht="15" thickBot="1" x14ac:dyDescent="0.35">
      <c r="D34" s="10"/>
      <c r="E34" s="48"/>
      <c r="F34" s="4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5"/>
      <c r="V34" s="51"/>
      <c r="W34" s="10"/>
      <c r="X34" s="10"/>
      <c r="Y34" s="10"/>
      <c r="Z34" s="10"/>
      <c r="AA34" s="10"/>
      <c r="AB34" s="10"/>
      <c r="AC34" s="10"/>
      <c r="AD34" s="10"/>
      <c r="AE34" s="10"/>
      <c r="AF34" s="26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26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26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26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</row>
    <row r="35" spans="4:117" ht="15" thickBot="1" x14ac:dyDescent="0.35">
      <c r="D35" s="10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51"/>
      <c r="W35" s="10"/>
      <c r="X35" s="10"/>
      <c r="Y35" s="10"/>
      <c r="Z35" s="10"/>
      <c r="AA35" s="10"/>
      <c r="AB35" s="10"/>
      <c r="AC35" s="10"/>
      <c r="AD35" s="10"/>
      <c r="AE35" s="10"/>
      <c r="AF35" s="26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26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26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26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</row>
    <row r="36" spans="4:117" ht="15" thickBot="1" x14ac:dyDescent="0.35">
      <c r="D36" s="10"/>
      <c r="E36" s="48"/>
      <c r="F36" s="165" t="s">
        <v>334</v>
      </c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7"/>
      <c r="V36" s="51"/>
      <c r="W36" s="10"/>
      <c r="X36" s="10"/>
      <c r="Y36" s="10"/>
      <c r="Z36" s="10"/>
      <c r="AA36" s="10"/>
      <c r="AB36" s="10"/>
      <c r="AC36" s="10"/>
      <c r="AD36" s="10"/>
      <c r="AE36" s="10"/>
      <c r="AF36" s="26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26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26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26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</row>
    <row r="37" spans="4:117" x14ac:dyDescent="0.3">
      <c r="D37" s="10"/>
      <c r="E37" s="48"/>
      <c r="F37" s="38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40"/>
      <c r="V37" s="51"/>
      <c r="W37" s="10"/>
      <c r="X37" s="10"/>
      <c r="Y37" s="10"/>
      <c r="Z37" s="10"/>
      <c r="AA37" s="10"/>
      <c r="AB37" s="10"/>
      <c r="AC37" s="10"/>
      <c r="AD37" s="10"/>
      <c r="AE37" s="10"/>
      <c r="AF37" s="26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26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26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26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</row>
    <row r="38" spans="4:117" x14ac:dyDescent="0.3">
      <c r="D38" s="10"/>
      <c r="E38" s="48"/>
      <c r="F38" s="41"/>
      <c r="G38" s="168"/>
      <c r="H38" s="168"/>
      <c r="I38" s="10"/>
      <c r="J38" s="19" t="s">
        <v>335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42"/>
      <c r="V38" s="51"/>
      <c r="W38" s="10"/>
      <c r="X38" s="10"/>
      <c r="Y38" s="10"/>
      <c r="Z38" s="10"/>
      <c r="AA38" s="10"/>
      <c r="AB38" s="10"/>
      <c r="AC38" s="10"/>
      <c r="AD38" s="10"/>
      <c r="AE38" s="10"/>
      <c r="AF38" s="26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26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26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26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</row>
    <row r="39" spans="4:117" x14ac:dyDescent="0.3">
      <c r="D39" s="10"/>
      <c r="E39" s="48"/>
      <c r="F39" s="41"/>
      <c r="G39" s="10"/>
      <c r="H39" s="10"/>
      <c r="I39" s="10"/>
      <c r="J39" s="1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42"/>
      <c r="V39" s="51"/>
      <c r="W39" s="10"/>
      <c r="X39" s="10"/>
      <c r="Y39" s="10"/>
      <c r="Z39" s="10"/>
      <c r="AA39" s="10"/>
      <c r="AB39" s="10"/>
      <c r="AC39" s="10"/>
      <c r="AD39" s="10"/>
      <c r="AE39" s="10"/>
      <c r="AF39" s="26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26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26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26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</row>
    <row r="40" spans="4:117" x14ac:dyDescent="0.3">
      <c r="D40" s="10"/>
      <c r="E40" s="48"/>
      <c r="F40" s="41"/>
      <c r="G40" s="169"/>
      <c r="H40" s="170"/>
      <c r="I40" s="10"/>
      <c r="J40" s="19" t="s">
        <v>336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42"/>
      <c r="V40" s="51"/>
      <c r="W40" s="10"/>
      <c r="X40" s="10"/>
      <c r="Y40" s="10"/>
      <c r="Z40" s="10"/>
      <c r="AA40" s="10"/>
      <c r="AB40" s="10"/>
      <c r="AC40" s="10"/>
      <c r="AD40" s="10"/>
      <c r="AE40" s="10"/>
      <c r="AF40" s="26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26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26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26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</row>
    <row r="41" spans="4:117" ht="15" thickBot="1" x14ac:dyDescent="0.35">
      <c r="D41" s="10"/>
      <c r="E41" s="48"/>
      <c r="F41" s="43"/>
      <c r="G41" s="44"/>
      <c r="H41" s="44"/>
      <c r="I41" s="44"/>
      <c r="J41" s="47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5"/>
      <c r="V41" s="51"/>
      <c r="W41" s="10"/>
      <c r="X41" s="10"/>
      <c r="Y41" s="10"/>
      <c r="Z41" s="10"/>
      <c r="AA41" s="10"/>
      <c r="AB41" s="10"/>
      <c r="AC41" s="10"/>
      <c r="AD41" s="10"/>
      <c r="AE41" s="10"/>
      <c r="AF41" s="26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26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26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26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</row>
    <row r="42" spans="4:117" x14ac:dyDescent="0.3">
      <c r="D42" s="10"/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51"/>
      <c r="W42" s="10"/>
      <c r="X42" s="10"/>
      <c r="Y42" s="10"/>
      <c r="Z42" s="10"/>
      <c r="AA42" s="10"/>
      <c r="AB42" s="10"/>
      <c r="AC42" s="10"/>
      <c r="AD42" s="10"/>
      <c r="AE42" s="10"/>
      <c r="AF42" s="26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26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26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26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</row>
    <row r="43" spans="4:117" ht="15" thickBot="1" x14ac:dyDescent="0.35">
      <c r="D43" s="10"/>
      <c r="E43" s="52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4"/>
      <c r="W43" s="10"/>
      <c r="X43" s="10"/>
      <c r="Y43" s="10"/>
      <c r="Z43" s="10"/>
      <c r="AA43" s="10"/>
      <c r="AB43" s="10"/>
      <c r="AC43" s="10"/>
      <c r="AD43" s="10"/>
      <c r="AE43" s="10"/>
      <c r="AF43" s="26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26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26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26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</row>
    <row r="44" spans="4:117" x14ac:dyDescent="0.3"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26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26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26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26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</row>
    <row r="45" spans="4:117" x14ac:dyDescent="0.3"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26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26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26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26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</row>
    <row r="46" spans="4:117" x14ac:dyDescent="0.3"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26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26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26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26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</row>
    <row r="47" spans="4:117" x14ac:dyDescent="0.3"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26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26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26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26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</row>
    <row r="48" spans="4:117" x14ac:dyDescent="0.3"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26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26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26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26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</row>
    <row r="49" spans="4:117" x14ac:dyDescent="0.3"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26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26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26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26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</row>
    <row r="50" spans="4:117" x14ac:dyDescent="0.3"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26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26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26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26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</row>
    <row r="51" spans="4:117" x14ac:dyDescent="0.3"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26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26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26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26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</row>
    <row r="52" spans="4:117" x14ac:dyDescent="0.3"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26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26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26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26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</row>
    <row r="53" spans="4:117" x14ac:dyDescent="0.3"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26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26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26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26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</row>
    <row r="54" spans="4:117" x14ac:dyDescent="0.3"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26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26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26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26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</row>
    <row r="55" spans="4:117" x14ac:dyDescent="0.3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26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26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26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26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</row>
    <row r="56" spans="4:117" x14ac:dyDescent="0.3"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26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26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26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26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</row>
    <row r="57" spans="4:117" x14ac:dyDescent="0.3"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26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26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26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26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</row>
    <row r="58" spans="4:117" x14ac:dyDescent="0.3"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26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26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26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26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</row>
    <row r="59" spans="4:117" x14ac:dyDescent="0.3"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26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26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26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26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</row>
    <row r="60" spans="4:117" x14ac:dyDescent="0.3"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26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26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26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26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</row>
    <row r="61" spans="4:117" x14ac:dyDescent="0.3"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26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26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26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26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</row>
    <row r="62" spans="4:117" x14ac:dyDescent="0.3"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26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26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26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26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</row>
    <row r="63" spans="4:117" x14ac:dyDescent="0.3"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26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26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26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26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</row>
    <row r="64" spans="4:117" x14ac:dyDescent="0.3"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26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26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26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26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</row>
    <row r="65" spans="4:117" x14ac:dyDescent="0.3"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26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26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26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26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</row>
    <row r="66" spans="4:117" x14ac:dyDescent="0.3"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26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26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26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26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</row>
    <row r="67" spans="4:117" x14ac:dyDescent="0.3"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26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26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26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26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</row>
    <row r="68" spans="4:117" x14ac:dyDescent="0.3"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26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26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26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26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</row>
    <row r="69" spans="4:117" x14ac:dyDescent="0.3"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26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26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26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26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</row>
    <row r="70" spans="4:117" x14ac:dyDescent="0.3"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26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26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26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26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</row>
    <row r="71" spans="4:117" x14ac:dyDescent="0.3"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26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26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26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26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</row>
    <row r="72" spans="4:117" x14ac:dyDescent="0.3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26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26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26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26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</row>
    <row r="73" spans="4:117" x14ac:dyDescent="0.3"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26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26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26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26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</row>
    <row r="74" spans="4:117" x14ac:dyDescent="0.3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6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26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26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26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</row>
    <row r="75" spans="4:117" x14ac:dyDescent="0.3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6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26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26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26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</row>
    <row r="76" spans="4:117" x14ac:dyDescent="0.3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26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26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26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26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</row>
    <row r="77" spans="4:117" x14ac:dyDescent="0.3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26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26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26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26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</row>
    <row r="78" spans="4:117" x14ac:dyDescent="0.3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26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26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26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26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</row>
    <row r="79" spans="4:117" x14ac:dyDescent="0.3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26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26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26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26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</row>
    <row r="80" spans="4:117" x14ac:dyDescent="0.3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26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26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26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26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</row>
    <row r="81" spans="4:117" x14ac:dyDescent="0.3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26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26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26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26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</row>
    <row r="82" spans="4:117" x14ac:dyDescent="0.3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26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26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26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26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</row>
    <row r="83" spans="4:117" x14ac:dyDescent="0.3"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26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26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26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26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</row>
    <row r="84" spans="4:117" x14ac:dyDescent="0.3"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26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26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26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26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</row>
    <row r="85" spans="4:117" x14ac:dyDescent="0.3"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26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26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26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26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</row>
    <row r="86" spans="4:117" x14ac:dyDescent="0.3"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26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26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26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26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</row>
    <row r="87" spans="4:117" x14ac:dyDescent="0.3"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26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26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26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26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</row>
    <row r="88" spans="4:117" x14ac:dyDescent="0.3"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26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26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26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26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</row>
    <row r="89" spans="4:117" x14ac:dyDescent="0.3"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26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26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26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26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</row>
    <row r="90" spans="4:117" x14ac:dyDescent="0.3"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26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26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26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26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</row>
    <row r="91" spans="4:117" x14ac:dyDescent="0.3"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26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26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26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26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</row>
    <row r="92" spans="4:117" x14ac:dyDescent="0.3"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26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26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26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26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</row>
    <row r="93" spans="4:117" x14ac:dyDescent="0.3"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26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26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26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26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</row>
    <row r="94" spans="4:117" x14ac:dyDescent="0.3"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26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26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26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26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</row>
    <row r="95" spans="4:117" x14ac:dyDescent="0.3"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26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26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26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26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</row>
    <row r="96" spans="4:117" x14ac:dyDescent="0.3"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26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26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26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26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</row>
    <row r="97" spans="4:117" x14ac:dyDescent="0.3"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26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26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26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26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</row>
    <row r="98" spans="4:117" x14ac:dyDescent="0.3"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26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26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26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26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</row>
    <row r="99" spans="4:117" x14ac:dyDescent="0.3"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26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26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26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26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</row>
    <row r="100" spans="4:117" x14ac:dyDescent="0.3"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26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26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26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26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</row>
    <row r="101" spans="4:117" x14ac:dyDescent="0.3"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26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26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26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26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</row>
    <row r="102" spans="4:117" x14ac:dyDescent="0.3"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26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26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26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26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</row>
    <row r="103" spans="4:117" x14ac:dyDescent="0.3"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26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26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26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26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</row>
    <row r="104" spans="4:117" x14ac:dyDescent="0.3"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26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26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26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26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</row>
    <row r="105" spans="4:117" x14ac:dyDescent="0.3"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26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26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26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26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</row>
    <row r="106" spans="4:117" x14ac:dyDescent="0.3"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26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26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26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26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</row>
    <row r="107" spans="4:117" x14ac:dyDescent="0.3"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26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26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26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26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</row>
    <row r="108" spans="4:117" x14ac:dyDescent="0.3"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26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26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26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26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</row>
    <row r="109" spans="4:117" x14ac:dyDescent="0.3"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26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26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26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26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</row>
    <row r="110" spans="4:117" x14ac:dyDescent="0.3"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26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26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26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26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</row>
    <row r="111" spans="4:117" x14ac:dyDescent="0.3"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26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26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26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26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</row>
    <row r="112" spans="4:117" x14ac:dyDescent="0.3"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26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26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26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26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</row>
    <row r="113" spans="4:117" x14ac:dyDescent="0.3"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26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26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26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26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</row>
    <row r="114" spans="4:117" x14ac:dyDescent="0.3"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26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26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26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26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</row>
    <row r="115" spans="4:117" x14ac:dyDescent="0.3"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26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26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26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26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</row>
    <row r="116" spans="4:117" x14ac:dyDescent="0.3"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26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26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26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26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</row>
    <row r="117" spans="4:117" x14ac:dyDescent="0.3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26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26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26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26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</row>
    <row r="118" spans="4:117" x14ac:dyDescent="0.3"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26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26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26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26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</row>
    <row r="119" spans="4:117" x14ac:dyDescent="0.3"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26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26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26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26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</row>
    <row r="120" spans="4:117" x14ac:dyDescent="0.3"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26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26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26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26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</row>
    <row r="121" spans="4:117" x14ac:dyDescent="0.3"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26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26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26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26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</row>
    <row r="122" spans="4:117" x14ac:dyDescent="0.3"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26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26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26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26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</row>
    <row r="123" spans="4:117" x14ac:dyDescent="0.3"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26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26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26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26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</row>
  </sheetData>
  <mergeCells count="506">
    <mergeCell ref="BT3:CK3"/>
    <mergeCell ref="CL3:CY3"/>
    <mergeCell ref="D4:F4"/>
    <mergeCell ref="G4:I4"/>
    <mergeCell ref="J4:N4"/>
    <mergeCell ref="O4:S4"/>
    <mergeCell ref="T4:X4"/>
    <mergeCell ref="AO5:AP5"/>
    <mergeCell ref="Y4:AA4"/>
    <mergeCell ref="AB4:AB6"/>
    <mergeCell ref="AC4:AC6"/>
    <mergeCell ref="AD4:AD6"/>
    <mergeCell ref="AE4:AE6"/>
    <mergeCell ref="AF4:AF6"/>
    <mergeCell ref="Y5:Z5"/>
    <mergeCell ref="B1:C4"/>
    <mergeCell ref="D3:AG3"/>
    <mergeCell ref="AH3:BS3"/>
    <mergeCell ref="CX4:CX6"/>
    <mergeCell ref="CY4:CY6"/>
    <mergeCell ref="A5:A6"/>
    <mergeCell ref="B5:B6"/>
    <mergeCell ref="C5:C6"/>
    <mergeCell ref="D5:E5"/>
    <mergeCell ref="G5:H5"/>
    <mergeCell ref="CI4:CI6"/>
    <mergeCell ref="CJ4:CJ6"/>
    <mergeCell ref="CK4:CK6"/>
    <mergeCell ref="CL4:CP4"/>
    <mergeCell ref="CQ4:CS4"/>
    <mergeCell ref="CT4:CT6"/>
    <mergeCell ref="CL5:CM5"/>
    <mergeCell ref="CN5:CO5"/>
    <mergeCell ref="CQ5:CR5"/>
    <mergeCell ref="BS4:BS6"/>
    <mergeCell ref="BT4:BZ4"/>
    <mergeCell ref="CA4:CE4"/>
    <mergeCell ref="CF4:CF6"/>
    <mergeCell ref="CG4:CG6"/>
    <mergeCell ref="CH4:CH6"/>
    <mergeCell ref="CA5:CB5"/>
    <mergeCell ref="CC5:CD5"/>
    <mergeCell ref="J5:K5"/>
    <mergeCell ref="L5:M5"/>
    <mergeCell ref="O5:P5"/>
    <mergeCell ref="Q5:R5"/>
    <mergeCell ref="T5:U5"/>
    <mergeCell ref="V5:W5"/>
    <mergeCell ref="CU4:CU6"/>
    <mergeCell ref="CV4:CV6"/>
    <mergeCell ref="CW4:CW6"/>
    <mergeCell ref="BI4:BM4"/>
    <mergeCell ref="BN4:BN6"/>
    <mergeCell ref="BO4:BO6"/>
    <mergeCell ref="BP4:BP6"/>
    <mergeCell ref="BQ4:BQ6"/>
    <mergeCell ref="BR4:BR6"/>
    <mergeCell ref="AG4:AG6"/>
    <mergeCell ref="AH4:AJ4"/>
    <mergeCell ref="AK4:AS4"/>
    <mergeCell ref="AT4:AZ4"/>
    <mergeCell ref="BA4:BE4"/>
    <mergeCell ref="BF4:BH4"/>
    <mergeCell ref="AH5:AI5"/>
    <mergeCell ref="AK5:AL5"/>
    <mergeCell ref="AM5:AN5"/>
    <mergeCell ref="BF5:BG5"/>
    <mergeCell ref="BI5:BJ5"/>
    <mergeCell ref="BK5:BL5"/>
    <mergeCell ref="BT5:BU5"/>
    <mergeCell ref="BV5:BW5"/>
    <mergeCell ref="BX5:BY5"/>
    <mergeCell ref="AQ5:AR5"/>
    <mergeCell ref="AT5:AU5"/>
    <mergeCell ref="AV5:AW5"/>
    <mergeCell ref="AX5:AY5"/>
    <mergeCell ref="BA5:BB5"/>
    <mergeCell ref="BC5:BD5"/>
    <mergeCell ref="AH7:AI7"/>
    <mergeCell ref="AK7:AL7"/>
    <mergeCell ref="AM7:AN7"/>
    <mergeCell ref="D7:E7"/>
    <mergeCell ref="G7:H7"/>
    <mergeCell ref="J7:K7"/>
    <mergeCell ref="L7:M7"/>
    <mergeCell ref="O7:P7"/>
    <mergeCell ref="Q7:R7"/>
    <mergeCell ref="L8:M8"/>
    <mergeCell ref="O8:P8"/>
    <mergeCell ref="Q8:R8"/>
    <mergeCell ref="BX7:BY7"/>
    <mergeCell ref="CA7:CB7"/>
    <mergeCell ref="CC7:CD7"/>
    <mergeCell ref="CL7:CM7"/>
    <mergeCell ref="CN7:CO7"/>
    <mergeCell ref="CQ7:CR7"/>
    <mergeCell ref="BC7:BD7"/>
    <mergeCell ref="BF7:BG7"/>
    <mergeCell ref="BI7:BJ7"/>
    <mergeCell ref="BK7:BL7"/>
    <mergeCell ref="BT7:BU7"/>
    <mergeCell ref="BV7:BW7"/>
    <mergeCell ref="AO7:AP7"/>
    <mergeCell ref="AQ7:AR7"/>
    <mergeCell ref="AT7:AU7"/>
    <mergeCell ref="AV7:AW7"/>
    <mergeCell ref="AX7:AY7"/>
    <mergeCell ref="BA7:BB7"/>
    <mergeCell ref="T7:U7"/>
    <mergeCell ref="V7:W7"/>
    <mergeCell ref="Y7:Z7"/>
    <mergeCell ref="CL8:CM8"/>
    <mergeCell ref="CN8:CO8"/>
    <mergeCell ref="CQ8:CR8"/>
    <mergeCell ref="BC8:BD8"/>
    <mergeCell ref="BF8:BG8"/>
    <mergeCell ref="BI8:BJ8"/>
    <mergeCell ref="BK8:BL8"/>
    <mergeCell ref="BT8:BU8"/>
    <mergeCell ref="BV8:BW8"/>
    <mergeCell ref="D9:E9"/>
    <mergeCell ref="G9:H9"/>
    <mergeCell ref="J9:K9"/>
    <mergeCell ref="L9:M9"/>
    <mergeCell ref="O9:P9"/>
    <mergeCell ref="Q9:R9"/>
    <mergeCell ref="BX8:BY8"/>
    <mergeCell ref="CA8:CB8"/>
    <mergeCell ref="CC8:CD8"/>
    <mergeCell ref="AO8:AP8"/>
    <mergeCell ref="AQ8:AR8"/>
    <mergeCell ref="AT8:AU8"/>
    <mergeCell ref="AV8:AW8"/>
    <mergeCell ref="AX8:AY8"/>
    <mergeCell ref="BA8:BB8"/>
    <mergeCell ref="T8:U8"/>
    <mergeCell ref="V8:W8"/>
    <mergeCell ref="Y8:Z8"/>
    <mergeCell ref="AH8:AI8"/>
    <mergeCell ref="AK8:AL8"/>
    <mergeCell ref="AM8:AN8"/>
    <mergeCell ref="D8:E8"/>
    <mergeCell ref="G8:H8"/>
    <mergeCell ref="J8:K8"/>
    <mergeCell ref="AO9:AP9"/>
    <mergeCell ref="AQ9:AR9"/>
    <mergeCell ref="AT9:AU9"/>
    <mergeCell ref="AV9:AW9"/>
    <mergeCell ref="AX9:AY9"/>
    <mergeCell ref="BA9:BB9"/>
    <mergeCell ref="T9:U9"/>
    <mergeCell ref="V9:W9"/>
    <mergeCell ref="Y9:Z9"/>
    <mergeCell ref="AH9:AI9"/>
    <mergeCell ref="AK9:AL9"/>
    <mergeCell ref="AM9:AN9"/>
    <mergeCell ref="BX9:BY9"/>
    <mergeCell ref="CA9:CB9"/>
    <mergeCell ref="CC9:CD9"/>
    <mergeCell ref="CL9:CM9"/>
    <mergeCell ref="CN9:CO9"/>
    <mergeCell ref="CQ9:CR9"/>
    <mergeCell ref="BC9:BD9"/>
    <mergeCell ref="BF9:BG9"/>
    <mergeCell ref="BI9:BJ9"/>
    <mergeCell ref="BK9:BL9"/>
    <mergeCell ref="BT9:BU9"/>
    <mergeCell ref="BV9:BW9"/>
    <mergeCell ref="AH10:AI10"/>
    <mergeCell ref="AK10:AL10"/>
    <mergeCell ref="AM10:AN10"/>
    <mergeCell ref="D10:E10"/>
    <mergeCell ref="G10:H10"/>
    <mergeCell ref="J10:K10"/>
    <mergeCell ref="L10:M10"/>
    <mergeCell ref="O10:P10"/>
    <mergeCell ref="Q10:R10"/>
    <mergeCell ref="L11:M11"/>
    <mergeCell ref="O11:P11"/>
    <mergeCell ref="Q11:R11"/>
    <mergeCell ref="BX10:BY10"/>
    <mergeCell ref="CA10:CB10"/>
    <mergeCell ref="CC10:CD10"/>
    <mergeCell ref="CL10:CM10"/>
    <mergeCell ref="CN10:CO10"/>
    <mergeCell ref="CQ10:CR10"/>
    <mergeCell ref="BC10:BD10"/>
    <mergeCell ref="BF10:BG10"/>
    <mergeCell ref="BI10:BJ10"/>
    <mergeCell ref="BK10:BL10"/>
    <mergeCell ref="BT10:BU10"/>
    <mergeCell ref="BV10:BW10"/>
    <mergeCell ref="AO10:AP10"/>
    <mergeCell ref="AQ10:AR10"/>
    <mergeCell ref="AT10:AU10"/>
    <mergeCell ref="AV10:AW10"/>
    <mergeCell ref="AX10:AY10"/>
    <mergeCell ref="BA10:BB10"/>
    <mergeCell ref="T10:U10"/>
    <mergeCell ref="V10:W10"/>
    <mergeCell ref="Y10:Z10"/>
    <mergeCell ref="CL11:CM11"/>
    <mergeCell ref="CN11:CO11"/>
    <mergeCell ref="CQ11:CR11"/>
    <mergeCell ref="BC11:BD11"/>
    <mergeCell ref="BF11:BG11"/>
    <mergeCell ref="BI11:BJ11"/>
    <mergeCell ref="BK11:BL11"/>
    <mergeCell ref="BT11:BU11"/>
    <mergeCell ref="BV11:BW11"/>
    <mergeCell ref="D12:E12"/>
    <mergeCell ref="G12:H12"/>
    <mergeCell ref="J12:K12"/>
    <mergeCell ref="L12:M12"/>
    <mergeCell ref="O12:P12"/>
    <mergeCell ref="Q12:R12"/>
    <mergeCell ref="BX11:BY11"/>
    <mergeCell ref="CA11:CB11"/>
    <mergeCell ref="CC11:CD11"/>
    <mergeCell ref="AO11:AP11"/>
    <mergeCell ref="AQ11:AR11"/>
    <mergeCell ref="AT11:AU11"/>
    <mergeCell ref="AV11:AW11"/>
    <mergeCell ref="AX11:AY11"/>
    <mergeCell ref="BA11:BB11"/>
    <mergeCell ref="T11:U11"/>
    <mergeCell ref="V11:W11"/>
    <mergeCell ref="Y11:Z11"/>
    <mergeCell ref="AH11:AI11"/>
    <mergeCell ref="AK11:AL11"/>
    <mergeCell ref="AM11:AN11"/>
    <mergeCell ref="D11:E11"/>
    <mergeCell ref="G11:H11"/>
    <mergeCell ref="J11:K11"/>
    <mergeCell ref="AO12:AP12"/>
    <mergeCell ref="AQ12:AR12"/>
    <mergeCell ref="AT12:AU12"/>
    <mergeCell ref="AV12:AW12"/>
    <mergeCell ref="AX12:AY12"/>
    <mergeCell ref="BA12:BB12"/>
    <mergeCell ref="T12:U12"/>
    <mergeCell ref="V12:W12"/>
    <mergeCell ref="Y12:Z12"/>
    <mergeCell ref="AH12:AI12"/>
    <mergeCell ref="AK12:AL12"/>
    <mergeCell ref="AM12:AN12"/>
    <mergeCell ref="BX12:BY12"/>
    <mergeCell ref="CA12:CB12"/>
    <mergeCell ref="CC12:CD12"/>
    <mergeCell ref="CL12:CM12"/>
    <mergeCell ref="CN12:CO12"/>
    <mergeCell ref="CQ12:CR12"/>
    <mergeCell ref="BC12:BD12"/>
    <mergeCell ref="BF12:BG12"/>
    <mergeCell ref="BI12:BJ12"/>
    <mergeCell ref="BK12:BL12"/>
    <mergeCell ref="BT12:BU12"/>
    <mergeCell ref="BV12:BW12"/>
    <mergeCell ref="AH13:AI13"/>
    <mergeCell ref="AK13:AL13"/>
    <mergeCell ref="AM13:AN13"/>
    <mergeCell ref="D13:E13"/>
    <mergeCell ref="G13:H13"/>
    <mergeCell ref="J13:K13"/>
    <mergeCell ref="L13:M13"/>
    <mergeCell ref="O13:P13"/>
    <mergeCell ref="Q13:R13"/>
    <mergeCell ref="L14:M14"/>
    <mergeCell ref="O14:P14"/>
    <mergeCell ref="Q14:R14"/>
    <mergeCell ref="BX13:BY13"/>
    <mergeCell ref="CA13:CB13"/>
    <mergeCell ref="CC13:CD13"/>
    <mergeCell ref="CL13:CM13"/>
    <mergeCell ref="CN13:CO13"/>
    <mergeCell ref="CQ13:CR13"/>
    <mergeCell ref="BC13:BD13"/>
    <mergeCell ref="BF13:BG13"/>
    <mergeCell ref="BI13:BJ13"/>
    <mergeCell ref="BK13:BL13"/>
    <mergeCell ref="BT13:BU13"/>
    <mergeCell ref="BV13:BW13"/>
    <mergeCell ref="AO13:AP13"/>
    <mergeCell ref="AQ13:AR13"/>
    <mergeCell ref="AT13:AU13"/>
    <mergeCell ref="AV13:AW13"/>
    <mergeCell ref="AX13:AY13"/>
    <mergeCell ref="BA13:BB13"/>
    <mergeCell ref="T13:U13"/>
    <mergeCell ref="V13:W13"/>
    <mergeCell ref="Y13:Z13"/>
    <mergeCell ref="CL14:CM14"/>
    <mergeCell ref="CN14:CO14"/>
    <mergeCell ref="CQ14:CR14"/>
    <mergeCell ref="BC14:BD14"/>
    <mergeCell ref="BF14:BG14"/>
    <mergeCell ref="BI14:BJ14"/>
    <mergeCell ref="BK14:BL14"/>
    <mergeCell ref="BT14:BU14"/>
    <mergeCell ref="BV14:BW14"/>
    <mergeCell ref="D15:E15"/>
    <mergeCell ref="G15:H15"/>
    <mergeCell ref="J15:K15"/>
    <mergeCell ref="L15:M15"/>
    <mergeCell ref="O15:P15"/>
    <mergeCell ref="Q15:R15"/>
    <mergeCell ref="BX14:BY14"/>
    <mergeCell ref="CA14:CB14"/>
    <mergeCell ref="CC14:CD14"/>
    <mergeCell ref="AO14:AP14"/>
    <mergeCell ref="AQ14:AR14"/>
    <mergeCell ref="AT14:AU14"/>
    <mergeCell ref="AV14:AW14"/>
    <mergeCell ref="AX14:AY14"/>
    <mergeCell ref="BA14:BB14"/>
    <mergeCell ref="T14:U14"/>
    <mergeCell ref="V14:W14"/>
    <mergeCell ref="Y14:Z14"/>
    <mergeCell ref="AH14:AI14"/>
    <mergeCell ref="AK14:AL14"/>
    <mergeCell ref="AM14:AN14"/>
    <mergeCell ref="D14:E14"/>
    <mergeCell ref="G14:H14"/>
    <mergeCell ref="J14:K14"/>
    <mergeCell ref="AO15:AP15"/>
    <mergeCell ref="AQ15:AR15"/>
    <mergeCell ref="AT15:AU15"/>
    <mergeCell ref="AV15:AW15"/>
    <mergeCell ref="AX15:AY15"/>
    <mergeCell ref="BA15:BB15"/>
    <mergeCell ref="T15:U15"/>
    <mergeCell ref="V15:W15"/>
    <mergeCell ref="Y15:Z15"/>
    <mergeCell ref="AH15:AI15"/>
    <mergeCell ref="AK15:AL15"/>
    <mergeCell ref="AM15:AN15"/>
    <mergeCell ref="BX15:BY15"/>
    <mergeCell ref="CA15:CB15"/>
    <mergeCell ref="CC15:CD15"/>
    <mergeCell ref="CL15:CM15"/>
    <mergeCell ref="CN15:CO15"/>
    <mergeCell ref="CQ15:CR15"/>
    <mergeCell ref="BC15:BD15"/>
    <mergeCell ref="BF15:BG15"/>
    <mergeCell ref="BI15:BJ15"/>
    <mergeCell ref="BK15:BL15"/>
    <mergeCell ref="BT15:BU15"/>
    <mergeCell ref="BV15:BW15"/>
    <mergeCell ref="AH16:AI16"/>
    <mergeCell ref="AK16:AL16"/>
    <mergeCell ref="AM16:AN16"/>
    <mergeCell ref="D16:E16"/>
    <mergeCell ref="G16:H16"/>
    <mergeCell ref="J16:K16"/>
    <mergeCell ref="L16:M16"/>
    <mergeCell ref="O16:P16"/>
    <mergeCell ref="Q16:R16"/>
    <mergeCell ref="L17:M17"/>
    <mergeCell ref="O17:P17"/>
    <mergeCell ref="Q17:R17"/>
    <mergeCell ref="BX16:BY16"/>
    <mergeCell ref="CA16:CB16"/>
    <mergeCell ref="CC16:CD16"/>
    <mergeCell ref="CL16:CM16"/>
    <mergeCell ref="CN16:CO16"/>
    <mergeCell ref="CQ16:CR16"/>
    <mergeCell ref="BC16:BD16"/>
    <mergeCell ref="BF16:BG16"/>
    <mergeCell ref="BI16:BJ16"/>
    <mergeCell ref="BK16:BL16"/>
    <mergeCell ref="BT16:BU16"/>
    <mergeCell ref="BV16:BW16"/>
    <mergeCell ref="AO16:AP16"/>
    <mergeCell ref="AQ16:AR16"/>
    <mergeCell ref="AT16:AU16"/>
    <mergeCell ref="AV16:AW16"/>
    <mergeCell ref="AX16:AY16"/>
    <mergeCell ref="BA16:BB16"/>
    <mergeCell ref="T16:U16"/>
    <mergeCell ref="V16:W16"/>
    <mergeCell ref="Y16:Z16"/>
    <mergeCell ref="CL17:CM17"/>
    <mergeCell ref="CN17:CO17"/>
    <mergeCell ref="CQ17:CR17"/>
    <mergeCell ref="BC17:BD17"/>
    <mergeCell ref="BF17:BG17"/>
    <mergeCell ref="BI17:BJ17"/>
    <mergeCell ref="BK17:BL17"/>
    <mergeCell ref="BT17:BU17"/>
    <mergeCell ref="BV17:BW17"/>
    <mergeCell ref="D18:E18"/>
    <mergeCell ref="G18:H18"/>
    <mergeCell ref="J18:K18"/>
    <mergeCell ref="L18:M18"/>
    <mergeCell ref="O18:P18"/>
    <mergeCell ref="Q18:R18"/>
    <mergeCell ref="BX17:BY17"/>
    <mergeCell ref="CA17:CB17"/>
    <mergeCell ref="CC17:CD17"/>
    <mergeCell ref="AO17:AP17"/>
    <mergeCell ref="AQ17:AR17"/>
    <mergeCell ref="AT17:AU17"/>
    <mergeCell ref="AV17:AW17"/>
    <mergeCell ref="AX17:AY17"/>
    <mergeCell ref="BA17:BB17"/>
    <mergeCell ref="T17:U17"/>
    <mergeCell ref="V17:W17"/>
    <mergeCell ref="Y17:Z17"/>
    <mergeCell ref="AH17:AI17"/>
    <mergeCell ref="AK17:AL17"/>
    <mergeCell ref="AM17:AN17"/>
    <mergeCell ref="D17:E17"/>
    <mergeCell ref="G17:H17"/>
    <mergeCell ref="J17:K17"/>
    <mergeCell ref="AO18:AP18"/>
    <mergeCell ref="AQ18:AR18"/>
    <mergeCell ref="AT18:AU18"/>
    <mergeCell ref="AV18:AW18"/>
    <mergeCell ref="AX18:AY18"/>
    <mergeCell ref="BA18:BB18"/>
    <mergeCell ref="T18:U18"/>
    <mergeCell ref="V18:W18"/>
    <mergeCell ref="Y18:Z18"/>
    <mergeCell ref="AH18:AI18"/>
    <mergeCell ref="AK18:AL18"/>
    <mergeCell ref="AM18:AN18"/>
    <mergeCell ref="BX18:BY18"/>
    <mergeCell ref="CA18:CB18"/>
    <mergeCell ref="CC18:CD18"/>
    <mergeCell ref="CL18:CM18"/>
    <mergeCell ref="CN18:CO18"/>
    <mergeCell ref="CQ18:CR18"/>
    <mergeCell ref="BC18:BD18"/>
    <mergeCell ref="BF18:BG18"/>
    <mergeCell ref="BI18:BJ18"/>
    <mergeCell ref="BK18:BL18"/>
    <mergeCell ref="BT18:BU18"/>
    <mergeCell ref="BV18:BW18"/>
    <mergeCell ref="AH19:AI19"/>
    <mergeCell ref="AK19:AL19"/>
    <mergeCell ref="AM19:AN19"/>
    <mergeCell ref="D19:E19"/>
    <mergeCell ref="G19:H19"/>
    <mergeCell ref="J19:K19"/>
    <mergeCell ref="L19:M19"/>
    <mergeCell ref="O19:P19"/>
    <mergeCell ref="Q19:R19"/>
    <mergeCell ref="L20:M20"/>
    <mergeCell ref="O20:P20"/>
    <mergeCell ref="Q20:R20"/>
    <mergeCell ref="BX19:BY19"/>
    <mergeCell ref="CA19:CB19"/>
    <mergeCell ref="CC19:CD19"/>
    <mergeCell ref="CL19:CM19"/>
    <mergeCell ref="CN19:CO19"/>
    <mergeCell ref="CQ19:CR19"/>
    <mergeCell ref="BC19:BD19"/>
    <mergeCell ref="BF19:BG19"/>
    <mergeCell ref="BI19:BJ19"/>
    <mergeCell ref="BK19:BL19"/>
    <mergeCell ref="BT19:BU19"/>
    <mergeCell ref="BV19:BW19"/>
    <mergeCell ref="AO19:AP19"/>
    <mergeCell ref="AQ19:AR19"/>
    <mergeCell ref="AT19:AU19"/>
    <mergeCell ref="AV19:AW19"/>
    <mergeCell ref="AX19:AY19"/>
    <mergeCell ref="BA19:BB19"/>
    <mergeCell ref="T19:U19"/>
    <mergeCell ref="V19:W19"/>
    <mergeCell ref="Y19:Z19"/>
    <mergeCell ref="CA20:CB20"/>
    <mergeCell ref="CC20:CD20"/>
    <mergeCell ref="CL20:CM20"/>
    <mergeCell ref="CN20:CO20"/>
    <mergeCell ref="CQ20:CR20"/>
    <mergeCell ref="BC20:BD20"/>
    <mergeCell ref="BF20:BG20"/>
    <mergeCell ref="BI20:BJ20"/>
    <mergeCell ref="BK20:BL20"/>
    <mergeCell ref="BT20:BU20"/>
    <mergeCell ref="BV20:BW20"/>
    <mergeCell ref="G38:H38"/>
    <mergeCell ref="G40:H40"/>
    <mergeCell ref="E25:V25"/>
    <mergeCell ref="F27:U27"/>
    <mergeCell ref="G29:H29"/>
    <mergeCell ref="G31:H31"/>
    <mergeCell ref="G33:H33"/>
    <mergeCell ref="F36:U36"/>
    <mergeCell ref="BX20:BY20"/>
    <mergeCell ref="AO20:AP20"/>
    <mergeCell ref="AQ20:AR20"/>
    <mergeCell ref="AT20:AU20"/>
    <mergeCell ref="AV20:AW20"/>
    <mergeCell ref="AX20:AY20"/>
    <mergeCell ref="BA20:BB20"/>
    <mergeCell ref="T20:U20"/>
    <mergeCell ref="V20:W20"/>
    <mergeCell ref="Y20:Z20"/>
    <mergeCell ref="AH20:AI20"/>
    <mergeCell ref="AK20:AL20"/>
    <mergeCell ref="AM20:AN20"/>
    <mergeCell ref="D20:E20"/>
    <mergeCell ref="G20:H20"/>
    <mergeCell ref="J20:K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EEDB-708F-418E-B492-B5EBEA3ABE51}">
  <dimension ref="A1:BT21"/>
  <sheetViews>
    <sheetView topLeftCell="K1" zoomScale="90" workbookViewId="0">
      <selection activeCell="BG7" sqref="BG7"/>
    </sheetView>
  </sheetViews>
  <sheetFormatPr baseColWidth="10" defaultRowHeight="14.4" x14ac:dyDescent="0.3"/>
  <sheetData>
    <row r="1" spans="1:72" ht="23.4" x14ac:dyDescent="0.45">
      <c r="A1" s="67" t="s">
        <v>342</v>
      </c>
    </row>
    <row r="2" spans="1:72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</row>
    <row r="3" spans="1:72" ht="23.4" x14ac:dyDescent="0.45">
      <c r="A3" s="67" t="s">
        <v>343</v>
      </c>
    </row>
    <row r="4" spans="1:72" x14ac:dyDescent="0.3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6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</row>
    <row r="5" spans="1:72" x14ac:dyDescent="0.3">
      <c r="A5" s="68"/>
      <c r="B5" s="68"/>
      <c r="C5" s="179" t="s">
        <v>0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 t="s">
        <v>1</v>
      </c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 t="s">
        <v>2</v>
      </c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 t="s">
        <v>3</v>
      </c>
      <c r="BK5" s="179"/>
      <c r="BL5" s="179"/>
      <c r="BM5" s="179"/>
      <c r="BN5" s="179"/>
      <c r="BO5" s="179"/>
      <c r="BP5" s="179"/>
      <c r="BQ5" s="179"/>
      <c r="BR5" s="179"/>
      <c r="BS5" s="179"/>
      <c r="BT5" s="179"/>
    </row>
    <row r="6" spans="1:72" ht="57.6" x14ac:dyDescent="0.3">
      <c r="A6" s="68"/>
      <c r="B6" s="68"/>
      <c r="C6" s="180" t="s">
        <v>4</v>
      </c>
      <c r="D6" s="180"/>
      <c r="E6" s="180" t="s">
        <v>5</v>
      </c>
      <c r="F6" s="180"/>
      <c r="G6" s="180" t="s">
        <v>6</v>
      </c>
      <c r="H6" s="180"/>
      <c r="I6" s="180"/>
      <c r="J6" s="180" t="s">
        <v>7</v>
      </c>
      <c r="K6" s="180"/>
      <c r="L6" s="180"/>
      <c r="M6" s="180" t="s">
        <v>8</v>
      </c>
      <c r="N6" s="180"/>
      <c r="O6" s="180"/>
      <c r="P6" s="180" t="s">
        <v>9</v>
      </c>
      <c r="Q6" s="180"/>
      <c r="R6" s="69" t="s">
        <v>344</v>
      </c>
      <c r="S6" s="69" t="s">
        <v>345</v>
      </c>
      <c r="T6" s="69" t="s">
        <v>346</v>
      </c>
      <c r="U6" s="69" t="s">
        <v>347</v>
      </c>
      <c r="V6" s="69" t="s">
        <v>348</v>
      </c>
      <c r="W6" s="69" t="s">
        <v>349</v>
      </c>
      <c r="X6" s="180" t="s">
        <v>10</v>
      </c>
      <c r="Y6" s="180"/>
      <c r="Z6" s="180" t="s">
        <v>11</v>
      </c>
      <c r="AA6" s="180"/>
      <c r="AB6" s="180"/>
      <c r="AC6" s="180"/>
      <c r="AD6" s="180"/>
      <c r="AE6" s="180" t="s">
        <v>12</v>
      </c>
      <c r="AF6" s="180"/>
      <c r="AG6" s="180"/>
      <c r="AH6" s="180"/>
      <c r="AI6" s="180" t="s">
        <v>13</v>
      </c>
      <c r="AJ6" s="180"/>
      <c r="AK6" s="180"/>
      <c r="AL6" s="180" t="s">
        <v>14</v>
      </c>
      <c r="AM6" s="180"/>
      <c r="AN6" s="180" t="s">
        <v>15</v>
      </c>
      <c r="AO6" s="180"/>
      <c r="AP6" s="180"/>
      <c r="AQ6" s="69" t="s">
        <v>344</v>
      </c>
      <c r="AR6" s="69" t="s">
        <v>345</v>
      </c>
      <c r="AS6" s="69" t="s">
        <v>346</v>
      </c>
      <c r="AT6" s="69" t="s">
        <v>347</v>
      </c>
      <c r="AU6" s="69" t="s">
        <v>348</v>
      </c>
      <c r="AV6" s="69" t="s">
        <v>349</v>
      </c>
      <c r="AW6" s="180" t="s">
        <v>16</v>
      </c>
      <c r="AX6" s="180"/>
      <c r="AY6" s="180"/>
      <c r="AZ6" s="180"/>
      <c r="BA6" s="180" t="s">
        <v>17</v>
      </c>
      <c r="BB6" s="180"/>
      <c r="BC6" s="180"/>
      <c r="BD6" s="69" t="s">
        <v>344</v>
      </c>
      <c r="BE6" s="69" t="s">
        <v>345</v>
      </c>
      <c r="BF6" s="69" t="s">
        <v>346</v>
      </c>
      <c r="BG6" s="69" t="s">
        <v>347</v>
      </c>
      <c r="BH6" s="69" t="s">
        <v>348</v>
      </c>
      <c r="BI6" s="69" t="s">
        <v>349</v>
      </c>
      <c r="BJ6" s="180" t="s">
        <v>18</v>
      </c>
      <c r="BK6" s="180"/>
      <c r="BL6" s="180"/>
      <c r="BM6" s="180" t="s">
        <v>19</v>
      </c>
      <c r="BN6" s="180"/>
      <c r="BO6" s="69" t="s">
        <v>344</v>
      </c>
      <c r="BP6" s="69" t="s">
        <v>345</v>
      </c>
      <c r="BQ6" s="69" t="s">
        <v>346</v>
      </c>
      <c r="BR6" s="69" t="s">
        <v>347</v>
      </c>
      <c r="BS6" s="69" t="s">
        <v>348</v>
      </c>
      <c r="BT6" s="69" t="s">
        <v>349</v>
      </c>
    </row>
    <row r="7" spans="1:72" ht="64.8" x14ac:dyDescent="0.3">
      <c r="A7" s="70" t="s">
        <v>20</v>
      </c>
      <c r="B7" s="70" t="s">
        <v>21</v>
      </c>
      <c r="C7" s="71" t="s">
        <v>350</v>
      </c>
      <c r="D7" s="71" t="s">
        <v>22</v>
      </c>
      <c r="E7" s="71" t="s">
        <v>351</v>
      </c>
      <c r="F7" s="71" t="s">
        <v>22</v>
      </c>
      <c r="G7" s="71" t="s">
        <v>352</v>
      </c>
      <c r="H7" s="71" t="s">
        <v>353</v>
      </c>
      <c r="I7" s="71" t="s">
        <v>22</v>
      </c>
      <c r="J7" s="71" t="s">
        <v>354</v>
      </c>
      <c r="K7" s="71" t="s">
        <v>355</v>
      </c>
      <c r="L7" s="71" t="s">
        <v>22</v>
      </c>
      <c r="M7" s="71" t="s">
        <v>356</v>
      </c>
      <c r="N7" s="71" t="s">
        <v>357</v>
      </c>
      <c r="O7" s="71" t="s">
        <v>22</v>
      </c>
      <c r="P7" s="71" t="s">
        <v>358</v>
      </c>
      <c r="Q7" s="71" t="s">
        <v>22</v>
      </c>
      <c r="R7" s="71"/>
      <c r="S7" s="71"/>
      <c r="T7" s="71"/>
      <c r="U7" s="71"/>
      <c r="V7" s="71"/>
      <c r="W7" s="71"/>
      <c r="X7" s="71" t="s">
        <v>359</v>
      </c>
      <c r="Y7" s="71" t="s">
        <v>22</v>
      </c>
      <c r="Z7" s="71" t="s">
        <v>360</v>
      </c>
      <c r="AA7" s="71" t="s">
        <v>361</v>
      </c>
      <c r="AB7" s="71" t="s">
        <v>362</v>
      </c>
      <c r="AC7" s="71" t="s">
        <v>363</v>
      </c>
      <c r="AD7" s="71" t="s">
        <v>22</v>
      </c>
      <c r="AE7" s="71" t="s">
        <v>364</v>
      </c>
      <c r="AF7" s="71" t="s">
        <v>23</v>
      </c>
      <c r="AG7" s="71" t="s">
        <v>24</v>
      </c>
      <c r="AH7" s="71" t="s">
        <v>22</v>
      </c>
      <c r="AI7" s="71" t="s">
        <v>25</v>
      </c>
      <c r="AJ7" s="71" t="s">
        <v>26</v>
      </c>
      <c r="AK7" s="71" t="s">
        <v>22</v>
      </c>
      <c r="AL7" s="71" t="s">
        <v>365</v>
      </c>
      <c r="AM7" s="71" t="s">
        <v>22</v>
      </c>
      <c r="AN7" s="71" t="s">
        <v>366</v>
      </c>
      <c r="AO7" s="71" t="s">
        <v>367</v>
      </c>
      <c r="AP7" s="71" t="s">
        <v>22</v>
      </c>
      <c r="AQ7" s="71"/>
      <c r="AR7" s="71"/>
      <c r="AS7" s="71"/>
      <c r="AT7" s="71"/>
      <c r="AU7" s="71"/>
      <c r="AV7" s="71"/>
      <c r="AW7" s="71" t="s">
        <v>27</v>
      </c>
      <c r="AX7" s="71" t="s">
        <v>28</v>
      </c>
      <c r="AY7" s="71" t="s">
        <v>29</v>
      </c>
      <c r="AZ7" s="71" t="s">
        <v>22</v>
      </c>
      <c r="BA7" s="71" t="s">
        <v>30</v>
      </c>
      <c r="BB7" s="71" t="s">
        <v>31</v>
      </c>
      <c r="BC7" s="71" t="s">
        <v>22</v>
      </c>
      <c r="BD7" s="71"/>
      <c r="BE7" s="71"/>
      <c r="BF7" s="71"/>
      <c r="BG7" s="71"/>
      <c r="BH7" s="71"/>
      <c r="BI7" s="71"/>
      <c r="BJ7" s="71" t="s">
        <v>368</v>
      </c>
      <c r="BK7" s="71" t="s">
        <v>369</v>
      </c>
      <c r="BL7" s="71" t="s">
        <v>22</v>
      </c>
      <c r="BM7" s="71" t="s">
        <v>370</v>
      </c>
      <c r="BN7" s="71" t="s">
        <v>22</v>
      </c>
      <c r="BO7" s="71"/>
      <c r="BP7" s="71"/>
      <c r="BQ7" s="71"/>
      <c r="BR7" s="71"/>
      <c r="BS7" s="71"/>
      <c r="BT7" s="71"/>
    </row>
    <row r="8" spans="1:72" ht="28.8" x14ac:dyDescent="0.3">
      <c r="A8" s="68" t="s">
        <v>32</v>
      </c>
      <c r="B8" s="68" t="s">
        <v>33</v>
      </c>
      <c r="C8" s="72" t="s">
        <v>34</v>
      </c>
      <c r="D8" s="68" t="s">
        <v>34</v>
      </c>
      <c r="E8" s="72" t="s">
        <v>34</v>
      </c>
      <c r="F8" s="68" t="s">
        <v>34</v>
      </c>
      <c r="G8" s="72" t="s">
        <v>34</v>
      </c>
      <c r="H8" s="72" t="s">
        <v>34</v>
      </c>
      <c r="I8" s="68" t="s">
        <v>34</v>
      </c>
      <c r="J8" s="72" t="s">
        <v>34</v>
      </c>
      <c r="K8" s="72" t="s">
        <v>34</v>
      </c>
      <c r="L8" s="68" t="s">
        <v>34</v>
      </c>
      <c r="M8" s="72" t="s">
        <v>34</v>
      </c>
      <c r="N8" s="72" t="s">
        <v>34</v>
      </c>
      <c r="O8" s="68" t="s">
        <v>34</v>
      </c>
      <c r="P8" s="72" t="s">
        <v>34</v>
      </c>
      <c r="Q8" s="68" t="s">
        <v>34</v>
      </c>
      <c r="R8" s="68">
        <v>0</v>
      </c>
      <c r="S8" s="68" t="s">
        <v>34</v>
      </c>
      <c r="T8" s="68" t="s">
        <v>34</v>
      </c>
      <c r="U8" s="68" t="s">
        <v>34</v>
      </c>
      <c r="V8" s="68">
        <v>0</v>
      </c>
      <c r="W8" s="73" t="s">
        <v>35</v>
      </c>
      <c r="X8" s="72" t="s">
        <v>34</v>
      </c>
      <c r="Y8" s="68" t="s">
        <v>34</v>
      </c>
      <c r="Z8" s="72" t="s">
        <v>34</v>
      </c>
      <c r="AA8" s="72" t="s">
        <v>34</v>
      </c>
      <c r="AB8" s="72" t="s">
        <v>34</v>
      </c>
      <c r="AC8" s="72" t="s">
        <v>34</v>
      </c>
      <c r="AD8" s="68" t="s">
        <v>34</v>
      </c>
      <c r="AE8" s="72" t="s">
        <v>34</v>
      </c>
      <c r="AF8" s="72" t="s">
        <v>34</v>
      </c>
      <c r="AG8" s="72" t="s">
        <v>34</v>
      </c>
      <c r="AH8" s="68" t="s">
        <v>34</v>
      </c>
      <c r="AI8" s="72" t="s">
        <v>34</v>
      </c>
      <c r="AJ8" s="72" t="s">
        <v>34</v>
      </c>
      <c r="AK8" s="68" t="s">
        <v>34</v>
      </c>
      <c r="AL8" s="72" t="s">
        <v>34</v>
      </c>
      <c r="AM8" s="68" t="s">
        <v>34</v>
      </c>
      <c r="AN8" s="72" t="s">
        <v>34</v>
      </c>
      <c r="AO8" s="72" t="s">
        <v>34</v>
      </c>
      <c r="AP8" s="68" t="s">
        <v>34</v>
      </c>
      <c r="AQ8" s="68">
        <v>0</v>
      </c>
      <c r="AR8" s="68" t="s">
        <v>34</v>
      </c>
      <c r="AS8" s="68" t="s">
        <v>34</v>
      </c>
      <c r="AT8" s="68" t="s">
        <v>34</v>
      </c>
      <c r="AU8" s="68">
        <v>0</v>
      </c>
      <c r="AV8" s="73" t="s">
        <v>35</v>
      </c>
      <c r="AW8" s="72" t="s">
        <v>34</v>
      </c>
      <c r="AX8" s="72" t="s">
        <v>34</v>
      </c>
      <c r="AY8" s="72" t="s">
        <v>34</v>
      </c>
      <c r="AZ8" s="68" t="s">
        <v>34</v>
      </c>
      <c r="BA8" s="72" t="s">
        <v>34</v>
      </c>
      <c r="BB8" s="72" t="s">
        <v>34</v>
      </c>
      <c r="BC8" s="68" t="s">
        <v>34</v>
      </c>
      <c r="BD8" s="68">
        <v>0</v>
      </c>
      <c r="BE8" s="68" t="s">
        <v>34</v>
      </c>
      <c r="BF8" s="68" t="s">
        <v>34</v>
      </c>
      <c r="BG8" s="68" t="s">
        <v>34</v>
      </c>
      <c r="BH8" s="68">
        <v>0</v>
      </c>
      <c r="BI8" s="73" t="s">
        <v>35</v>
      </c>
      <c r="BJ8" s="72" t="s">
        <v>34</v>
      </c>
      <c r="BK8" s="72" t="s">
        <v>34</v>
      </c>
      <c r="BL8" s="68" t="s">
        <v>34</v>
      </c>
      <c r="BM8" s="72" t="s">
        <v>34</v>
      </c>
      <c r="BN8" s="68" t="s">
        <v>34</v>
      </c>
      <c r="BO8" s="68">
        <v>0</v>
      </c>
      <c r="BP8" s="68" t="s">
        <v>34</v>
      </c>
      <c r="BQ8" s="68" t="s">
        <v>34</v>
      </c>
      <c r="BR8" s="68" t="s">
        <v>34</v>
      </c>
      <c r="BS8" s="68">
        <v>0</v>
      </c>
      <c r="BT8" s="73" t="s">
        <v>35</v>
      </c>
    </row>
    <row r="9" spans="1:72" ht="28.8" x14ac:dyDescent="0.3">
      <c r="A9" s="65" t="s">
        <v>36</v>
      </c>
      <c r="B9" s="65" t="s">
        <v>37</v>
      </c>
      <c r="C9" s="65">
        <v>10</v>
      </c>
      <c r="D9" s="65" t="s">
        <v>38</v>
      </c>
      <c r="E9" s="65">
        <v>9</v>
      </c>
      <c r="F9" s="65" t="s">
        <v>39</v>
      </c>
      <c r="G9" s="65" t="s">
        <v>40</v>
      </c>
      <c r="H9" s="65" t="s">
        <v>41</v>
      </c>
      <c r="I9" s="65" t="s">
        <v>42</v>
      </c>
      <c r="J9" s="65">
        <v>4</v>
      </c>
      <c r="K9" s="65">
        <v>1</v>
      </c>
      <c r="L9" s="65" t="s">
        <v>43</v>
      </c>
      <c r="M9" s="65" t="s">
        <v>44</v>
      </c>
      <c r="N9" s="65">
        <v>9</v>
      </c>
      <c r="O9" s="65" t="s">
        <v>45</v>
      </c>
      <c r="P9" s="65" t="s">
        <v>46</v>
      </c>
      <c r="Q9" s="65" t="s">
        <v>47</v>
      </c>
      <c r="R9" s="65" t="s">
        <v>48</v>
      </c>
      <c r="S9" s="65" t="s">
        <v>34</v>
      </c>
      <c r="T9" s="65">
        <v>5</v>
      </c>
      <c r="U9" s="65" t="s">
        <v>34</v>
      </c>
      <c r="V9" s="65" t="s">
        <v>49</v>
      </c>
      <c r="W9" s="65"/>
      <c r="X9" s="65" t="s">
        <v>46</v>
      </c>
      <c r="Y9" s="65" t="s">
        <v>50</v>
      </c>
      <c r="Z9" s="65">
        <v>1</v>
      </c>
      <c r="AA9" s="65" t="s">
        <v>51</v>
      </c>
      <c r="AB9" s="65">
        <v>3</v>
      </c>
      <c r="AC9" s="65" t="s">
        <v>52</v>
      </c>
      <c r="AD9" s="65" t="s">
        <v>53</v>
      </c>
      <c r="AE9" s="65">
        <v>3</v>
      </c>
      <c r="AF9" s="65">
        <v>4</v>
      </c>
      <c r="AG9" s="65" t="s">
        <v>54</v>
      </c>
      <c r="AH9" s="65" t="s">
        <v>55</v>
      </c>
      <c r="AI9" s="65">
        <v>7</v>
      </c>
      <c r="AJ9" s="65" t="s">
        <v>56</v>
      </c>
      <c r="AK9" s="65" t="s">
        <v>57</v>
      </c>
      <c r="AL9" s="65">
        <v>9</v>
      </c>
      <c r="AM9" s="65" t="s">
        <v>58</v>
      </c>
      <c r="AN9" s="65">
        <v>6</v>
      </c>
      <c r="AO9" s="65">
        <v>2</v>
      </c>
      <c r="AP9" s="65" t="s">
        <v>59</v>
      </c>
      <c r="AQ9" s="65" t="s">
        <v>60</v>
      </c>
      <c r="AR9" s="65" t="s">
        <v>34</v>
      </c>
      <c r="AS9" s="65" t="s">
        <v>61</v>
      </c>
      <c r="AT9" s="65" t="s">
        <v>34</v>
      </c>
      <c r="AU9" s="65" t="s">
        <v>62</v>
      </c>
      <c r="AV9" s="65"/>
      <c r="AW9" s="65">
        <v>2</v>
      </c>
      <c r="AX9" s="65" t="s">
        <v>63</v>
      </c>
      <c r="AY9" s="65" t="s">
        <v>64</v>
      </c>
      <c r="AZ9" s="65" t="s">
        <v>65</v>
      </c>
      <c r="BA9" s="65">
        <v>5</v>
      </c>
      <c r="BB9" s="65" t="s">
        <v>66</v>
      </c>
      <c r="BC9" s="65" t="s">
        <v>67</v>
      </c>
      <c r="BD9" s="65" t="s">
        <v>68</v>
      </c>
      <c r="BE9" s="65" t="s">
        <v>34</v>
      </c>
      <c r="BF9" s="65">
        <v>7</v>
      </c>
      <c r="BG9" s="65" t="s">
        <v>34</v>
      </c>
      <c r="BH9" s="65" t="s">
        <v>69</v>
      </c>
      <c r="BI9" s="65"/>
      <c r="BJ9" s="65">
        <v>5</v>
      </c>
      <c r="BK9" s="65" t="s">
        <v>70</v>
      </c>
      <c r="BL9" s="65" t="s">
        <v>71</v>
      </c>
      <c r="BM9" s="65" t="s">
        <v>72</v>
      </c>
      <c r="BN9" s="65" t="s">
        <v>73</v>
      </c>
      <c r="BO9" s="65" t="s">
        <v>74</v>
      </c>
      <c r="BP9" s="65" t="s">
        <v>34</v>
      </c>
      <c r="BQ9" s="65">
        <v>8</v>
      </c>
      <c r="BR9" s="65">
        <v>0</v>
      </c>
      <c r="BS9" s="65" t="s">
        <v>75</v>
      </c>
      <c r="BT9" s="65"/>
    </row>
    <row r="10" spans="1:72" ht="28.8" x14ac:dyDescent="0.3">
      <c r="A10" s="68" t="s">
        <v>76</v>
      </c>
      <c r="B10" s="68" t="s">
        <v>77</v>
      </c>
      <c r="C10" s="68" t="s">
        <v>78</v>
      </c>
      <c r="D10" s="68" t="s">
        <v>79</v>
      </c>
      <c r="E10" s="68">
        <v>9</v>
      </c>
      <c r="F10" s="68" t="s">
        <v>39</v>
      </c>
      <c r="G10" s="68" t="s">
        <v>80</v>
      </c>
      <c r="H10" s="68" t="s">
        <v>41</v>
      </c>
      <c r="I10" s="68" t="s">
        <v>81</v>
      </c>
      <c r="J10" s="68">
        <v>4</v>
      </c>
      <c r="K10" s="68" t="s">
        <v>52</v>
      </c>
      <c r="L10" s="68" t="s">
        <v>82</v>
      </c>
      <c r="M10" s="68" t="s">
        <v>83</v>
      </c>
      <c r="N10" s="68">
        <v>9</v>
      </c>
      <c r="O10" s="68" t="s">
        <v>84</v>
      </c>
      <c r="P10" s="68">
        <v>10</v>
      </c>
      <c r="Q10" s="68" t="s">
        <v>85</v>
      </c>
      <c r="R10" s="68" t="s">
        <v>86</v>
      </c>
      <c r="S10" s="68" t="s">
        <v>34</v>
      </c>
      <c r="T10" s="68" t="s">
        <v>34</v>
      </c>
      <c r="U10" s="68" t="s">
        <v>34</v>
      </c>
      <c r="V10" s="68" t="s">
        <v>86</v>
      </c>
      <c r="W10" s="68"/>
      <c r="X10" s="68">
        <v>10</v>
      </c>
      <c r="Y10" s="68">
        <v>1</v>
      </c>
      <c r="Z10" s="68">
        <v>1</v>
      </c>
      <c r="AA10" s="68">
        <v>4</v>
      </c>
      <c r="AB10" s="68">
        <v>3</v>
      </c>
      <c r="AC10" s="68" t="s">
        <v>52</v>
      </c>
      <c r="AD10" s="68" t="s">
        <v>87</v>
      </c>
      <c r="AE10" s="68">
        <v>3</v>
      </c>
      <c r="AF10" s="68">
        <v>4</v>
      </c>
      <c r="AG10" s="68">
        <v>2</v>
      </c>
      <c r="AH10" s="68" t="s">
        <v>88</v>
      </c>
      <c r="AI10" s="68">
        <v>7</v>
      </c>
      <c r="AJ10" s="68">
        <v>2</v>
      </c>
      <c r="AK10" s="68" t="s">
        <v>89</v>
      </c>
      <c r="AL10" s="68" t="s">
        <v>46</v>
      </c>
      <c r="AM10" s="68" t="s">
        <v>90</v>
      </c>
      <c r="AN10" s="68">
        <v>6</v>
      </c>
      <c r="AO10" s="68" t="s">
        <v>38</v>
      </c>
      <c r="AP10" s="68" t="s">
        <v>91</v>
      </c>
      <c r="AQ10" s="68" t="s">
        <v>92</v>
      </c>
      <c r="AR10" s="68" t="s">
        <v>34</v>
      </c>
      <c r="AS10" s="68" t="s">
        <v>34</v>
      </c>
      <c r="AT10" s="68" t="s">
        <v>34</v>
      </c>
      <c r="AU10" s="68" t="s">
        <v>92</v>
      </c>
      <c r="AV10" s="68"/>
      <c r="AW10" s="68">
        <v>2</v>
      </c>
      <c r="AX10" s="68">
        <v>4</v>
      </c>
      <c r="AY10" s="68" t="s">
        <v>64</v>
      </c>
      <c r="AZ10" s="68" t="s">
        <v>93</v>
      </c>
      <c r="BA10" s="68">
        <v>5</v>
      </c>
      <c r="BB10" s="68">
        <v>5</v>
      </c>
      <c r="BC10" s="68">
        <v>4</v>
      </c>
      <c r="BD10" s="68" t="s">
        <v>94</v>
      </c>
      <c r="BE10" s="68" t="s">
        <v>34</v>
      </c>
      <c r="BF10" s="68" t="s">
        <v>34</v>
      </c>
      <c r="BG10" s="68" t="s">
        <v>34</v>
      </c>
      <c r="BH10" s="68" t="s">
        <v>94</v>
      </c>
      <c r="BI10" s="68"/>
      <c r="BJ10" s="68">
        <v>6</v>
      </c>
      <c r="BK10" s="68" t="s">
        <v>57</v>
      </c>
      <c r="BL10" s="68" t="s">
        <v>95</v>
      </c>
      <c r="BM10" s="68">
        <v>3</v>
      </c>
      <c r="BN10" s="68" t="s">
        <v>54</v>
      </c>
      <c r="BO10" s="68" t="s">
        <v>96</v>
      </c>
      <c r="BP10" s="68" t="s">
        <v>34</v>
      </c>
      <c r="BQ10" s="68" t="s">
        <v>34</v>
      </c>
      <c r="BR10" s="68" t="s">
        <v>34</v>
      </c>
      <c r="BS10" s="68" t="s">
        <v>96</v>
      </c>
      <c r="BT10" s="68"/>
    </row>
    <row r="11" spans="1:72" ht="28.8" x14ac:dyDescent="0.3">
      <c r="A11" s="65" t="s">
        <v>97</v>
      </c>
      <c r="B11" s="65" t="s">
        <v>98</v>
      </c>
      <c r="C11" s="65" t="s">
        <v>61</v>
      </c>
      <c r="D11" s="65" t="s">
        <v>83</v>
      </c>
      <c r="E11" s="65" t="s">
        <v>41</v>
      </c>
      <c r="F11" s="65" t="s">
        <v>99</v>
      </c>
      <c r="G11" s="65" t="s">
        <v>100</v>
      </c>
      <c r="H11" s="65" t="s">
        <v>101</v>
      </c>
      <c r="I11" s="65" t="s">
        <v>102</v>
      </c>
      <c r="J11" s="65" t="s">
        <v>101</v>
      </c>
      <c r="K11" s="65" t="s">
        <v>103</v>
      </c>
      <c r="L11" s="65" t="s">
        <v>104</v>
      </c>
      <c r="M11" s="65" t="s">
        <v>83</v>
      </c>
      <c r="N11" s="65">
        <v>9</v>
      </c>
      <c r="O11" s="65" t="s">
        <v>84</v>
      </c>
      <c r="P11" s="65">
        <v>8</v>
      </c>
      <c r="Q11" s="65">
        <v>2</v>
      </c>
      <c r="R11" s="65" t="s">
        <v>105</v>
      </c>
      <c r="S11" s="65" t="s">
        <v>34</v>
      </c>
      <c r="T11" s="65" t="s">
        <v>61</v>
      </c>
      <c r="U11" s="65" t="s">
        <v>34</v>
      </c>
      <c r="V11" s="65" t="s">
        <v>106</v>
      </c>
      <c r="W11" s="65"/>
      <c r="X11" s="65">
        <v>7</v>
      </c>
      <c r="Y11" s="65" t="s">
        <v>44</v>
      </c>
      <c r="Z11" s="65">
        <v>1</v>
      </c>
      <c r="AA11" s="65" t="s">
        <v>63</v>
      </c>
      <c r="AB11" s="65">
        <v>3</v>
      </c>
      <c r="AC11" s="65" t="s">
        <v>103</v>
      </c>
      <c r="AD11" s="65" t="s">
        <v>107</v>
      </c>
      <c r="AE11" s="65">
        <v>2</v>
      </c>
      <c r="AF11" s="65" t="s">
        <v>54</v>
      </c>
      <c r="AG11" s="65" t="s">
        <v>43</v>
      </c>
      <c r="AH11" s="65" t="s">
        <v>108</v>
      </c>
      <c r="AI11" s="65" t="s">
        <v>109</v>
      </c>
      <c r="AJ11" s="66">
        <v>0</v>
      </c>
      <c r="AK11" s="65" t="s">
        <v>110</v>
      </c>
      <c r="AL11" s="65" t="s">
        <v>41</v>
      </c>
      <c r="AM11" s="65" t="s">
        <v>111</v>
      </c>
      <c r="AN11" s="65" t="s">
        <v>101</v>
      </c>
      <c r="AO11" s="65" t="s">
        <v>59</v>
      </c>
      <c r="AP11" s="65" t="s">
        <v>112</v>
      </c>
      <c r="AQ11" s="65" t="s">
        <v>113</v>
      </c>
      <c r="AR11" s="65" t="s">
        <v>34</v>
      </c>
      <c r="AS11" s="65">
        <v>8</v>
      </c>
      <c r="AT11" s="65" t="s">
        <v>34</v>
      </c>
      <c r="AU11" s="65" t="s">
        <v>114</v>
      </c>
      <c r="AV11" s="65"/>
      <c r="AW11" s="65">
        <v>2</v>
      </c>
      <c r="AX11" s="65">
        <v>4</v>
      </c>
      <c r="AY11" s="65" t="s">
        <v>89</v>
      </c>
      <c r="AZ11" s="65" t="s">
        <v>115</v>
      </c>
      <c r="BA11" s="65">
        <v>5</v>
      </c>
      <c r="BB11" s="65" t="s">
        <v>116</v>
      </c>
      <c r="BC11" s="65" t="s">
        <v>117</v>
      </c>
      <c r="BD11" s="65" t="s">
        <v>118</v>
      </c>
      <c r="BE11" s="65" t="s">
        <v>34</v>
      </c>
      <c r="BF11" s="65">
        <v>8</v>
      </c>
      <c r="BG11" s="65" t="s">
        <v>34</v>
      </c>
      <c r="BH11" s="65" t="s">
        <v>119</v>
      </c>
      <c r="BI11" s="65"/>
      <c r="BJ11" s="65">
        <v>3</v>
      </c>
      <c r="BK11" s="65" t="s">
        <v>70</v>
      </c>
      <c r="BL11" s="65" t="s">
        <v>120</v>
      </c>
      <c r="BM11" s="65" t="s">
        <v>121</v>
      </c>
      <c r="BN11" s="65" t="s">
        <v>88</v>
      </c>
      <c r="BO11" s="65" t="s">
        <v>122</v>
      </c>
      <c r="BP11" s="65" t="s">
        <v>34</v>
      </c>
      <c r="BQ11" s="65" t="s">
        <v>41</v>
      </c>
      <c r="BR11" s="65">
        <v>0</v>
      </c>
      <c r="BS11" s="65" t="s">
        <v>123</v>
      </c>
      <c r="BT11" s="65"/>
    </row>
    <row r="12" spans="1:72" ht="28.8" x14ac:dyDescent="0.3">
      <c r="A12" s="68" t="s">
        <v>124</v>
      </c>
      <c r="B12" s="68" t="s">
        <v>125</v>
      </c>
      <c r="C12" s="68">
        <v>10</v>
      </c>
      <c r="D12" s="68" t="s">
        <v>38</v>
      </c>
      <c r="E12" s="68" t="s">
        <v>78</v>
      </c>
      <c r="F12" s="68" t="s">
        <v>126</v>
      </c>
      <c r="G12" s="68">
        <v>3</v>
      </c>
      <c r="H12" s="68">
        <v>7</v>
      </c>
      <c r="I12" s="68" t="s">
        <v>54</v>
      </c>
      <c r="J12" s="68">
        <v>3</v>
      </c>
      <c r="K12" s="68" t="s">
        <v>83</v>
      </c>
      <c r="L12" s="68" t="s">
        <v>127</v>
      </c>
      <c r="M12" s="68" t="s">
        <v>52</v>
      </c>
      <c r="N12" s="68">
        <v>9</v>
      </c>
      <c r="O12" s="68" t="s">
        <v>128</v>
      </c>
      <c r="P12" s="68" t="s">
        <v>46</v>
      </c>
      <c r="Q12" s="68" t="s">
        <v>47</v>
      </c>
      <c r="R12" s="68" t="s">
        <v>129</v>
      </c>
      <c r="S12" s="68" t="s">
        <v>34</v>
      </c>
      <c r="T12" s="68" t="s">
        <v>78</v>
      </c>
      <c r="U12" s="68" t="s">
        <v>34</v>
      </c>
      <c r="V12" s="68" t="s">
        <v>130</v>
      </c>
      <c r="W12" s="68"/>
      <c r="X12" s="68">
        <v>10</v>
      </c>
      <c r="Y12" s="68">
        <v>1</v>
      </c>
      <c r="Z12" s="68">
        <v>1</v>
      </c>
      <c r="AA12" s="68" t="s">
        <v>131</v>
      </c>
      <c r="AB12" s="68">
        <v>3</v>
      </c>
      <c r="AC12" s="68" t="s">
        <v>83</v>
      </c>
      <c r="AD12" s="68" t="s">
        <v>132</v>
      </c>
      <c r="AE12" s="68">
        <v>3</v>
      </c>
      <c r="AF12" s="68">
        <v>4</v>
      </c>
      <c r="AG12" s="68" t="s">
        <v>85</v>
      </c>
      <c r="AH12" s="68" t="s">
        <v>47</v>
      </c>
      <c r="AI12" s="68">
        <v>7</v>
      </c>
      <c r="AJ12" s="68" t="s">
        <v>133</v>
      </c>
      <c r="AK12" s="68" t="s">
        <v>134</v>
      </c>
      <c r="AL12" s="68">
        <v>8</v>
      </c>
      <c r="AM12" s="68" t="s">
        <v>59</v>
      </c>
      <c r="AN12" s="68" t="s">
        <v>135</v>
      </c>
      <c r="AO12" s="68" t="s">
        <v>80</v>
      </c>
      <c r="AP12" s="68" t="s">
        <v>136</v>
      </c>
      <c r="AQ12" s="68" t="s">
        <v>137</v>
      </c>
      <c r="AR12" s="68" t="s">
        <v>34</v>
      </c>
      <c r="AS12" s="68">
        <v>10</v>
      </c>
      <c r="AT12" s="68" t="s">
        <v>34</v>
      </c>
      <c r="AU12" s="68" t="s">
        <v>138</v>
      </c>
      <c r="AV12" s="68"/>
      <c r="AW12" s="68">
        <v>2</v>
      </c>
      <c r="AX12" s="68">
        <v>4</v>
      </c>
      <c r="AY12" s="68">
        <v>4</v>
      </c>
      <c r="AZ12" s="68">
        <v>6</v>
      </c>
      <c r="BA12" s="68">
        <v>5</v>
      </c>
      <c r="BB12" s="68">
        <v>5</v>
      </c>
      <c r="BC12" s="68">
        <v>4</v>
      </c>
      <c r="BD12" s="68">
        <v>7</v>
      </c>
      <c r="BE12" s="68" t="s">
        <v>34</v>
      </c>
      <c r="BF12" s="68">
        <v>10</v>
      </c>
      <c r="BG12" s="68" t="s">
        <v>34</v>
      </c>
      <c r="BH12" s="68">
        <v>10</v>
      </c>
      <c r="BI12" s="68"/>
      <c r="BJ12" s="68">
        <v>6</v>
      </c>
      <c r="BK12" s="68" t="s">
        <v>139</v>
      </c>
      <c r="BL12" s="68" t="s">
        <v>140</v>
      </c>
      <c r="BM12" s="68">
        <v>5</v>
      </c>
      <c r="BN12" s="68" t="s">
        <v>85</v>
      </c>
      <c r="BO12" s="68" t="s">
        <v>141</v>
      </c>
      <c r="BP12" s="68" t="s">
        <v>34</v>
      </c>
      <c r="BQ12" s="68">
        <v>10</v>
      </c>
      <c r="BR12" s="68">
        <v>0</v>
      </c>
      <c r="BS12" s="68" t="s">
        <v>142</v>
      </c>
      <c r="BT12" s="68"/>
    </row>
    <row r="13" spans="1:72" ht="28.8" x14ac:dyDescent="0.3">
      <c r="A13" s="65" t="s">
        <v>143</v>
      </c>
      <c r="B13" s="65" t="s">
        <v>144</v>
      </c>
      <c r="C13" s="65">
        <v>10</v>
      </c>
      <c r="D13" s="65" t="s">
        <v>38</v>
      </c>
      <c r="E13" s="65" t="s">
        <v>61</v>
      </c>
      <c r="F13" s="65" t="s">
        <v>145</v>
      </c>
      <c r="G13" s="65" t="s">
        <v>40</v>
      </c>
      <c r="H13" s="65" t="s">
        <v>41</v>
      </c>
      <c r="I13" s="65" t="s">
        <v>42</v>
      </c>
      <c r="J13" s="65">
        <v>8</v>
      </c>
      <c r="K13" s="65">
        <v>1</v>
      </c>
      <c r="L13" s="65" t="s">
        <v>146</v>
      </c>
      <c r="M13" s="65">
        <v>1</v>
      </c>
      <c r="N13" s="65">
        <v>9</v>
      </c>
      <c r="O13" s="65">
        <v>2</v>
      </c>
      <c r="P13" s="65">
        <v>10</v>
      </c>
      <c r="Q13" s="65" t="s">
        <v>85</v>
      </c>
      <c r="R13" s="65" t="s">
        <v>137</v>
      </c>
      <c r="S13" s="65" t="s">
        <v>34</v>
      </c>
      <c r="T13" s="65">
        <v>10</v>
      </c>
      <c r="U13" s="65" t="s">
        <v>34</v>
      </c>
      <c r="V13" s="65" t="s">
        <v>138</v>
      </c>
      <c r="W13" s="65"/>
      <c r="X13" s="65">
        <v>10</v>
      </c>
      <c r="Y13" s="65">
        <v>1</v>
      </c>
      <c r="Z13" s="65">
        <v>1</v>
      </c>
      <c r="AA13" s="65" t="s">
        <v>147</v>
      </c>
      <c r="AB13" s="65" t="s">
        <v>80</v>
      </c>
      <c r="AC13" s="65" t="s">
        <v>83</v>
      </c>
      <c r="AD13" s="65" t="s">
        <v>148</v>
      </c>
      <c r="AE13" s="65">
        <v>3</v>
      </c>
      <c r="AF13" s="65" t="s">
        <v>149</v>
      </c>
      <c r="AG13" s="65" t="s">
        <v>85</v>
      </c>
      <c r="AH13" s="65" t="s">
        <v>150</v>
      </c>
      <c r="AI13" s="65">
        <v>7</v>
      </c>
      <c r="AJ13" s="65" t="s">
        <v>56</v>
      </c>
      <c r="AK13" s="65" t="s">
        <v>57</v>
      </c>
      <c r="AL13" s="65">
        <v>6</v>
      </c>
      <c r="AM13" s="65" t="s">
        <v>112</v>
      </c>
      <c r="AN13" s="65">
        <v>6</v>
      </c>
      <c r="AO13" s="65" t="s">
        <v>151</v>
      </c>
      <c r="AP13" s="65" t="s">
        <v>152</v>
      </c>
      <c r="AQ13" s="65" t="s">
        <v>153</v>
      </c>
      <c r="AR13" s="65" t="s">
        <v>34</v>
      </c>
      <c r="AS13" s="65">
        <v>10</v>
      </c>
      <c r="AT13" s="65" t="s">
        <v>34</v>
      </c>
      <c r="AU13" s="65" t="s">
        <v>154</v>
      </c>
      <c r="AV13" s="65"/>
      <c r="AW13" s="65">
        <v>2</v>
      </c>
      <c r="AX13" s="65">
        <v>4</v>
      </c>
      <c r="AY13" s="65">
        <v>4</v>
      </c>
      <c r="AZ13" s="65">
        <v>6</v>
      </c>
      <c r="BA13" s="65" t="s">
        <v>155</v>
      </c>
      <c r="BB13" s="65">
        <v>5</v>
      </c>
      <c r="BC13" s="65" t="s">
        <v>156</v>
      </c>
      <c r="BD13" s="65" t="s">
        <v>157</v>
      </c>
      <c r="BE13" s="65" t="s">
        <v>34</v>
      </c>
      <c r="BF13" s="65">
        <v>10</v>
      </c>
      <c r="BG13" s="65" t="s">
        <v>34</v>
      </c>
      <c r="BH13" s="65" t="s">
        <v>158</v>
      </c>
      <c r="BI13" s="65"/>
      <c r="BJ13" s="65">
        <v>7</v>
      </c>
      <c r="BK13" s="65">
        <v>3</v>
      </c>
      <c r="BL13" s="65">
        <v>5</v>
      </c>
      <c r="BM13" s="65" t="s">
        <v>159</v>
      </c>
      <c r="BN13" s="65" t="s">
        <v>160</v>
      </c>
      <c r="BO13" s="65" t="s">
        <v>161</v>
      </c>
      <c r="BP13" s="65" t="s">
        <v>34</v>
      </c>
      <c r="BQ13" s="65">
        <v>10</v>
      </c>
      <c r="BR13" s="65">
        <v>0</v>
      </c>
      <c r="BS13" s="65" t="s">
        <v>162</v>
      </c>
      <c r="BT13" s="65"/>
    </row>
    <row r="14" spans="1:72" ht="43.2" x14ac:dyDescent="0.3">
      <c r="A14" s="68" t="s">
        <v>163</v>
      </c>
      <c r="B14" s="68" t="s">
        <v>164</v>
      </c>
      <c r="C14" s="68">
        <v>10</v>
      </c>
      <c r="D14" s="68" t="s">
        <v>38</v>
      </c>
      <c r="E14" s="68" t="s">
        <v>61</v>
      </c>
      <c r="F14" s="68" t="s">
        <v>145</v>
      </c>
      <c r="G14" s="68" t="s">
        <v>40</v>
      </c>
      <c r="H14" s="68" t="s">
        <v>101</v>
      </c>
      <c r="I14" s="68" t="s">
        <v>165</v>
      </c>
      <c r="J14" s="68">
        <v>6</v>
      </c>
      <c r="K14" s="68" t="s">
        <v>44</v>
      </c>
      <c r="L14" s="68" t="s">
        <v>166</v>
      </c>
      <c r="M14" s="68" t="s">
        <v>44</v>
      </c>
      <c r="N14" s="68">
        <v>8</v>
      </c>
      <c r="O14" s="68" t="s">
        <v>167</v>
      </c>
      <c r="P14" s="68">
        <v>10</v>
      </c>
      <c r="Q14" s="68" t="s">
        <v>85</v>
      </c>
      <c r="R14" s="68" t="s">
        <v>153</v>
      </c>
      <c r="S14" s="68" t="s">
        <v>34</v>
      </c>
      <c r="T14" s="68" t="s">
        <v>78</v>
      </c>
      <c r="U14" s="68" t="s">
        <v>34</v>
      </c>
      <c r="V14" s="68" t="s">
        <v>168</v>
      </c>
      <c r="W14" s="68"/>
      <c r="X14" s="68" t="s">
        <v>61</v>
      </c>
      <c r="Y14" s="68" t="s">
        <v>43</v>
      </c>
      <c r="Z14" s="68">
        <v>1</v>
      </c>
      <c r="AA14" s="68" t="s">
        <v>155</v>
      </c>
      <c r="AB14" s="68">
        <v>3</v>
      </c>
      <c r="AC14" s="68" t="s">
        <v>52</v>
      </c>
      <c r="AD14" s="68" t="s">
        <v>116</v>
      </c>
      <c r="AE14" s="68">
        <v>2</v>
      </c>
      <c r="AF14" s="68">
        <v>2</v>
      </c>
      <c r="AG14" s="68" t="s">
        <v>88</v>
      </c>
      <c r="AH14" s="68" t="s">
        <v>169</v>
      </c>
      <c r="AI14" s="68">
        <v>7</v>
      </c>
      <c r="AJ14" s="68">
        <v>2</v>
      </c>
      <c r="AK14" s="68" t="s">
        <v>89</v>
      </c>
      <c r="AL14" s="68">
        <v>7</v>
      </c>
      <c r="AM14" s="68" t="s">
        <v>170</v>
      </c>
      <c r="AN14" s="68">
        <v>6</v>
      </c>
      <c r="AO14" s="68" t="s">
        <v>38</v>
      </c>
      <c r="AP14" s="68" t="s">
        <v>91</v>
      </c>
      <c r="AQ14" s="68" t="s">
        <v>171</v>
      </c>
      <c r="AR14" s="68" t="s">
        <v>34</v>
      </c>
      <c r="AS14" s="68">
        <v>8</v>
      </c>
      <c r="AT14" s="68" t="s">
        <v>34</v>
      </c>
      <c r="AU14" s="68" t="s">
        <v>172</v>
      </c>
      <c r="AV14" s="68"/>
      <c r="AW14" s="68">
        <v>2</v>
      </c>
      <c r="AX14" s="68" t="s">
        <v>173</v>
      </c>
      <c r="AY14" s="68" t="s">
        <v>64</v>
      </c>
      <c r="AZ14" s="68" t="s">
        <v>174</v>
      </c>
      <c r="BA14" s="68">
        <v>5</v>
      </c>
      <c r="BB14" s="68" t="s">
        <v>121</v>
      </c>
      <c r="BC14" s="68" t="s">
        <v>64</v>
      </c>
      <c r="BD14" s="68" t="s">
        <v>109</v>
      </c>
      <c r="BE14" s="68" t="s">
        <v>34</v>
      </c>
      <c r="BF14" s="68">
        <v>7</v>
      </c>
      <c r="BG14" s="68" t="s">
        <v>34</v>
      </c>
      <c r="BH14" s="68" t="s">
        <v>175</v>
      </c>
      <c r="BI14" s="68"/>
      <c r="BJ14" s="68">
        <v>4</v>
      </c>
      <c r="BK14" s="68" t="s">
        <v>120</v>
      </c>
      <c r="BL14" s="68" t="s">
        <v>176</v>
      </c>
      <c r="BM14" s="68" t="s">
        <v>177</v>
      </c>
      <c r="BN14" s="68" t="s">
        <v>178</v>
      </c>
      <c r="BO14" s="68" t="s">
        <v>179</v>
      </c>
      <c r="BP14" s="68" t="s">
        <v>34</v>
      </c>
      <c r="BQ14" s="68">
        <v>8</v>
      </c>
      <c r="BR14" s="68">
        <v>0</v>
      </c>
      <c r="BS14" s="68" t="s">
        <v>180</v>
      </c>
      <c r="BT14" s="68"/>
    </row>
    <row r="15" spans="1:72" ht="28.8" x14ac:dyDescent="0.3">
      <c r="A15" s="65" t="s">
        <v>181</v>
      </c>
      <c r="B15" s="65" t="s">
        <v>182</v>
      </c>
      <c r="C15" s="65" t="s">
        <v>78</v>
      </c>
      <c r="D15" s="65" t="s">
        <v>79</v>
      </c>
      <c r="E15" s="65">
        <v>6</v>
      </c>
      <c r="F15" s="65" t="s">
        <v>183</v>
      </c>
      <c r="G15" s="65" t="s">
        <v>100</v>
      </c>
      <c r="H15" s="65" t="s">
        <v>121</v>
      </c>
      <c r="I15" s="65" t="s">
        <v>184</v>
      </c>
      <c r="J15" s="65" t="s">
        <v>101</v>
      </c>
      <c r="K15" s="65" t="s">
        <v>44</v>
      </c>
      <c r="L15" s="65" t="s">
        <v>185</v>
      </c>
      <c r="M15" s="65" t="s">
        <v>52</v>
      </c>
      <c r="N15" s="65">
        <v>9</v>
      </c>
      <c r="O15" s="65" t="s">
        <v>128</v>
      </c>
      <c r="P15" s="65" t="s">
        <v>46</v>
      </c>
      <c r="Q15" s="65" t="s">
        <v>47</v>
      </c>
      <c r="R15" s="65" t="s">
        <v>186</v>
      </c>
      <c r="S15" s="65" t="s">
        <v>34</v>
      </c>
      <c r="T15" s="65">
        <v>8</v>
      </c>
      <c r="U15" s="65" t="s">
        <v>34</v>
      </c>
      <c r="V15" s="65" t="s">
        <v>187</v>
      </c>
      <c r="W15" s="65"/>
      <c r="X15" s="65">
        <v>8</v>
      </c>
      <c r="Y15" s="65" t="s">
        <v>52</v>
      </c>
      <c r="Z15" s="66">
        <v>0</v>
      </c>
      <c r="AA15" s="65" t="s">
        <v>63</v>
      </c>
      <c r="AB15" s="65">
        <v>3</v>
      </c>
      <c r="AC15" s="65" t="s">
        <v>52</v>
      </c>
      <c r="AD15" s="65" t="s">
        <v>188</v>
      </c>
      <c r="AE15" s="65">
        <v>1</v>
      </c>
      <c r="AF15" s="65" t="s">
        <v>88</v>
      </c>
      <c r="AG15" s="65" t="s">
        <v>88</v>
      </c>
      <c r="AH15" s="65" t="s">
        <v>42</v>
      </c>
      <c r="AI15" s="65" t="s">
        <v>63</v>
      </c>
      <c r="AJ15" s="65" t="s">
        <v>189</v>
      </c>
      <c r="AK15" s="65" t="s">
        <v>190</v>
      </c>
      <c r="AL15" s="65">
        <v>8</v>
      </c>
      <c r="AM15" s="65" t="s">
        <v>59</v>
      </c>
      <c r="AN15" s="65">
        <v>5</v>
      </c>
      <c r="AO15" s="65" t="s">
        <v>191</v>
      </c>
      <c r="AP15" s="65" t="s">
        <v>111</v>
      </c>
      <c r="AQ15" s="65" t="s">
        <v>192</v>
      </c>
      <c r="AR15" s="65" t="s">
        <v>34</v>
      </c>
      <c r="AS15" s="65">
        <v>7</v>
      </c>
      <c r="AT15" s="65" t="s">
        <v>34</v>
      </c>
      <c r="AU15" s="65" t="s">
        <v>193</v>
      </c>
      <c r="AV15" s="65"/>
      <c r="AW15" s="65">
        <v>2</v>
      </c>
      <c r="AX15" s="65">
        <v>4</v>
      </c>
      <c r="AY15" s="65" t="s">
        <v>194</v>
      </c>
      <c r="AZ15" s="65" t="s">
        <v>186</v>
      </c>
      <c r="BA15" s="65">
        <v>5</v>
      </c>
      <c r="BB15" s="65" t="s">
        <v>195</v>
      </c>
      <c r="BC15" s="65" t="s">
        <v>196</v>
      </c>
      <c r="BD15" s="65" t="s">
        <v>197</v>
      </c>
      <c r="BE15" s="65" t="s">
        <v>34</v>
      </c>
      <c r="BF15" s="65" t="s">
        <v>46</v>
      </c>
      <c r="BG15" s="65" t="s">
        <v>34</v>
      </c>
      <c r="BH15" s="65" t="s">
        <v>198</v>
      </c>
      <c r="BI15" s="65"/>
      <c r="BJ15" s="65">
        <v>5</v>
      </c>
      <c r="BK15" s="65" t="s">
        <v>70</v>
      </c>
      <c r="BL15" s="65" t="s">
        <v>71</v>
      </c>
      <c r="BM15" s="65" t="s">
        <v>199</v>
      </c>
      <c r="BN15" s="65" t="s">
        <v>200</v>
      </c>
      <c r="BO15" s="65" t="s">
        <v>201</v>
      </c>
      <c r="BP15" s="65" t="s">
        <v>34</v>
      </c>
      <c r="BQ15" s="65">
        <v>6</v>
      </c>
      <c r="BR15" s="65">
        <v>0</v>
      </c>
      <c r="BS15" s="65" t="s">
        <v>202</v>
      </c>
      <c r="BT15" s="65"/>
    </row>
    <row r="16" spans="1:72" ht="28.8" x14ac:dyDescent="0.3">
      <c r="A16" s="68" t="s">
        <v>203</v>
      </c>
      <c r="B16" s="68" t="s">
        <v>204</v>
      </c>
      <c r="C16" s="68">
        <v>10</v>
      </c>
      <c r="D16" s="68" t="s">
        <v>38</v>
      </c>
      <c r="E16" s="68" t="s">
        <v>46</v>
      </c>
      <c r="F16" s="68" t="s">
        <v>205</v>
      </c>
      <c r="G16" s="68" t="s">
        <v>100</v>
      </c>
      <c r="H16" s="68">
        <v>7</v>
      </c>
      <c r="I16" s="68" t="s">
        <v>206</v>
      </c>
      <c r="J16" s="68">
        <v>8</v>
      </c>
      <c r="K16" s="68" t="s">
        <v>83</v>
      </c>
      <c r="L16" s="68" t="s">
        <v>81</v>
      </c>
      <c r="M16" s="68" t="s">
        <v>52</v>
      </c>
      <c r="N16" s="68">
        <v>9</v>
      </c>
      <c r="O16" s="68" t="s">
        <v>128</v>
      </c>
      <c r="P16" s="68">
        <v>10</v>
      </c>
      <c r="Q16" s="68" t="s">
        <v>85</v>
      </c>
      <c r="R16" s="68" t="s">
        <v>207</v>
      </c>
      <c r="S16" s="68" t="s">
        <v>34</v>
      </c>
      <c r="T16" s="68">
        <v>8</v>
      </c>
      <c r="U16" s="68" t="s">
        <v>34</v>
      </c>
      <c r="V16" s="68" t="s">
        <v>208</v>
      </c>
      <c r="W16" s="68"/>
      <c r="X16" s="68" t="s">
        <v>78</v>
      </c>
      <c r="Y16" s="68" t="s">
        <v>99</v>
      </c>
      <c r="Z16" s="68">
        <v>1</v>
      </c>
      <c r="AA16" s="68" t="s">
        <v>110</v>
      </c>
      <c r="AB16" s="68" t="s">
        <v>209</v>
      </c>
      <c r="AC16" s="68">
        <v>1</v>
      </c>
      <c r="AD16" s="68" t="s">
        <v>210</v>
      </c>
      <c r="AE16" s="68">
        <v>3</v>
      </c>
      <c r="AF16" s="68">
        <v>4</v>
      </c>
      <c r="AG16" s="68" t="s">
        <v>199</v>
      </c>
      <c r="AH16" s="68" t="s">
        <v>211</v>
      </c>
      <c r="AI16" s="68">
        <v>7</v>
      </c>
      <c r="AJ16" s="68" t="s">
        <v>56</v>
      </c>
      <c r="AK16" s="68" t="s">
        <v>57</v>
      </c>
      <c r="AL16" s="68" t="s">
        <v>78</v>
      </c>
      <c r="AM16" s="68" t="s">
        <v>212</v>
      </c>
      <c r="AN16" s="68">
        <v>6</v>
      </c>
      <c r="AO16" s="68" t="s">
        <v>80</v>
      </c>
      <c r="AP16" s="68" t="s">
        <v>213</v>
      </c>
      <c r="AQ16" s="68" t="s">
        <v>214</v>
      </c>
      <c r="AR16" s="68" t="s">
        <v>34</v>
      </c>
      <c r="AS16" s="68">
        <v>9</v>
      </c>
      <c r="AT16" s="68" t="s">
        <v>34</v>
      </c>
      <c r="AU16" s="68" t="s">
        <v>172</v>
      </c>
      <c r="AV16" s="68"/>
      <c r="AW16" s="68">
        <v>2</v>
      </c>
      <c r="AX16" s="68" t="s">
        <v>88</v>
      </c>
      <c r="AY16" s="68" t="s">
        <v>215</v>
      </c>
      <c r="AZ16" s="68" t="s">
        <v>216</v>
      </c>
      <c r="BA16" s="68" t="s">
        <v>155</v>
      </c>
      <c r="BB16" s="68" t="s">
        <v>141</v>
      </c>
      <c r="BC16" s="68" t="s">
        <v>178</v>
      </c>
      <c r="BD16" s="68" t="s">
        <v>217</v>
      </c>
      <c r="BE16" s="68" t="s">
        <v>34</v>
      </c>
      <c r="BF16" s="68">
        <v>10</v>
      </c>
      <c r="BG16" s="68" t="s">
        <v>34</v>
      </c>
      <c r="BH16" s="68" t="s">
        <v>218</v>
      </c>
      <c r="BI16" s="68"/>
      <c r="BJ16" s="68">
        <v>6</v>
      </c>
      <c r="BK16" s="68" t="s">
        <v>139</v>
      </c>
      <c r="BL16" s="68" t="s">
        <v>140</v>
      </c>
      <c r="BM16" s="68">
        <v>10</v>
      </c>
      <c r="BN16" s="68">
        <v>5</v>
      </c>
      <c r="BO16" s="68" t="s">
        <v>219</v>
      </c>
      <c r="BP16" s="68" t="s">
        <v>34</v>
      </c>
      <c r="BQ16" s="68">
        <v>7</v>
      </c>
      <c r="BR16" s="68">
        <v>0</v>
      </c>
      <c r="BS16" s="68" t="s">
        <v>220</v>
      </c>
      <c r="BT16" s="68"/>
    </row>
    <row r="17" spans="1:72" ht="28.8" x14ac:dyDescent="0.3">
      <c r="A17" s="65" t="s">
        <v>221</v>
      </c>
      <c r="B17" s="65" t="s">
        <v>222</v>
      </c>
      <c r="C17" s="65">
        <v>9</v>
      </c>
      <c r="D17" s="65" t="s">
        <v>223</v>
      </c>
      <c r="E17" s="65">
        <v>6</v>
      </c>
      <c r="F17" s="65" t="s">
        <v>183</v>
      </c>
      <c r="G17" s="65" t="s">
        <v>40</v>
      </c>
      <c r="H17" s="65" t="s">
        <v>41</v>
      </c>
      <c r="I17" s="65" t="s">
        <v>42</v>
      </c>
      <c r="J17" s="65">
        <v>9</v>
      </c>
      <c r="K17" s="65" t="s">
        <v>103</v>
      </c>
      <c r="L17" s="65" t="s">
        <v>224</v>
      </c>
      <c r="M17" s="65" t="s">
        <v>44</v>
      </c>
      <c r="N17" s="65">
        <v>9</v>
      </c>
      <c r="O17" s="65" t="s">
        <v>45</v>
      </c>
      <c r="P17" s="65">
        <v>10</v>
      </c>
      <c r="Q17" s="65" t="s">
        <v>85</v>
      </c>
      <c r="R17" s="65" t="s">
        <v>225</v>
      </c>
      <c r="S17" s="65" t="s">
        <v>34</v>
      </c>
      <c r="T17" s="65">
        <v>7</v>
      </c>
      <c r="U17" s="65" t="s">
        <v>34</v>
      </c>
      <c r="V17" s="65" t="s">
        <v>226</v>
      </c>
      <c r="W17" s="65"/>
      <c r="X17" s="65">
        <v>10</v>
      </c>
      <c r="Y17" s="65">
        <v>1</v>
      </c>
      <c r="Z17" s="65">
        <v>1</v>
      </c>
      <c r="AA17" s="65" t="s">
        <v>85</v>
      </c>
      <c r="AB17" s="65" t="s">
        <v>227</v>
      </c>
      <c r="AC17" s="65" t="s">
        <v>44</v>
      </c>
      <c r="AD17" s="65" t="s">
        <v>228</v>
      </c>
      <c r="AE17" s="65">
        <v>2</v>
      </c>
      <c r="AF17" s="65">
        <v>4</v>
      </c>
      <c r="AG17" s="65" t="s">
        <v>54</v>
      </c>
      <c r="AH17" s="65" t="s">
        <v>229</v>
      </c>
      <c r="AI17" s="65">
        <v>7</v>
      </c>
      <c r="AJ17" s="65" t="s">
        <v>230</v>
      </c>
      <c r="AK17" s="65" t="s">
        <v>210</v>
      </c>
      <c r="AL17" s="65" t="s">
        <v>46</v>
      </c>
      <c r="AM17" s="65" t="s">
        <v>90</v>
      </c>
      <c r="AN17" s="65" t="s">
        <v>101</v>
      </c>
      <c r="AO17" s="65" t="s">
        <v>38</v>
      </c>
      <c r="AP17" s="65" t="s">
        <v>231</v>
      </c>
      <c r="AQ17" s="65" t="s">
        <v>73</v>
      </c>
      <c r="AR17" s="65" t="s">
        <v>34</v>
      </c>
      <c r="AS17" s="65">
        <v>4</v>
      </c>
      <c r="AT17" s="65" t="s">
        <v>34</v>
      </c>
      <c r="AU17" s="74">
        <v>4</v>
      </c>
      <c r="AV17" s="65"/>
      <c r="AW17" s="65">
        <v>1</v>
      </c>
      <c r="AX17" s="65" t="s">
        <v>63</v>
      </c>
      <c r="AY17" s="65" t="s">
        <v>215</v>
      </c>
      <c r="AZ17" s="65" t="s">
        <v>233</v>
      </c>
      <c r="BA17" s="65" t="s">
        <v>155</v>
      </c>
      <c r="BB17" s="65">
        <v>5</v>
      </c>
      <c r="BC17" s="65" t="s">
        <v>156</v>
      </c>
      <c r="BD17" s="65" t="s">
        <v>234</v>
      </c>
      <c r="BE17" s="65" t="s">
        <v>34</v>
      </c>
      <c r="BF17" s="65" t="s">
        <v>61</v>
      </c>
      <c r="BG17" s="65" t="s">
        <v>34</v>
      </c>
      <c r="BH17" s="65" t="s">
        <v>235</v>
      </c>
      <c r="BI17" s="65"/>
      <c r="BJ17" s="65">
        <v>4</v>
      </c>
      <c r="BK17" s="65" t="s">
        <v>120</v>
      </c>
      <c r="BL17" s="65" t="s">
        <v>176</v>
      </c>
      <c r="BM17" s="65" t="s">
        <v>51</v>
      </c>
      <c r="BN17" s="65" t="s">
        <v>229</v>
      </c>
      <c r="BO17" s="65" t="s">
        <v>236</v>
      </c>
      <c r="BP17" s="65" t="s">
        <v>34</v>
      </c>
      <c r="BQ17" s="65">
        <v>6</v>
      </c>
      <c r="BR17" s="65">
        <v>0</v>
      </c>
      <c r="BS17" s="65" t="s">
        <v>237</v>
      </c>
      <c r="BT17" s="65"/>
    </row>
    <row r="18" spans="1:72" ht="28.8" x14ac:dyDescent="0.3">
      <c r="A18" s="68" t="s">
        <v>238</v>
      </c>
      <c r="B18" s="68" t="s">
        <v>239</v>
      </c>
      <c r="C18" s="68">
        <v>10</v>
      </c>
      <c r="D18" s="68" t="s">
        <v>38</v>
      </c>
      <c r="E18" s="68">
        <v>4</v>
      </c>
      <c r="F18" s="68" t="s">
        <v>240</v>
      </c>
      <c r="G18" s="68" t="s">
        <v>80</v>
      </c>
      <c r="H18" s="68">
        <v>7</v>
      </c>
      <c r="I18" s="68" t="s">
        <v>241</v>
      </c>
      <c r="J18" s="68" t="s">
        <v>159</v>
      </c>
      <c r="K18" s="68" t="s">
        <v>52</v>
      </c>
      <c r="L18" s="68" t="s">
        <v>242</v>
      </c>
      <c r="M18" s="68" t="s">
        <v>52</v>
      </c>
      <c r="N18" s="68">
        <v>9</v>
      </c>
      <c r="O18" s="68" t="s">
        <v>128</v>
      </c>
      <c r="P18" s="68" t="s">
        <v>243</v>
      </c>
      <c r="Q18" s="68" t="s">
        <v>211</v>
      </c>
      <c r="R18" s="68" t="s">
        <v>244</v>
      </c>
      <c r="S18" s="68" t="s">
        <v>34</v>
      </c>
      <c r="T18" s="68">
        <v>9</v>
      </c>
      <c r="U18" s="68" t="s">
        <v>34</v>
      </c>
      <c r="V18" s="68" t="s">
        <v>243</v>
      </c>
      <c r="W18" s="68"/>
      <c r="X18" s="68" t="s">
        <v>46</v>
      </c>
      <c r="Y18" s="68" t="s">
        <v>50</v>
      </c>
      <c r="Z18" s="68">
        <v>1</v>
      </c>
      <c r="AA18" s="68" t="s">
        <v>155</v>
      </c>
      <c r="AB18" s="68">
        <v>3</v>
      </c>
      <c r="AC18" s="68" t="s">
        <v>44</v>
      </c>
      <c r="AD18" s="68" t="s">
        <v>245</v>
      </c>
      <c r="AE18" s="68">
        <v>3</v>
      </c>
      <c r="AF18" s="68" t="s">
        <v>88</v>
      </c>
      <c r="AG18" s="68" t="s">
        <v>88</v>
      </c>
      <c r="AH18" s="68" t="s">
        <v>229</v>
      </c>
      <c r="AI18" s="68">
        <v>7</v>
      </c>
      <c r="AJ18" s="68" t="s">
        <v>133</v>
      </c>
      <c r="AK18" s="68" t="s">
        <v>134</v>
      </c>
      <c r="AL18" s="68" t="s">
        <v>41</v>
      </c>
      <c r="AM18" s="68" t="s">
        <v>111</v>
      </c>
      <c r="AN18" s="68">
        <v>6</v>
      </c>
      <c r="AO18" s="68" t="s">
        <v>80</v>
      </c>
      <c r="AP18" s="68" t="s">
        <v>213</v>
      </c>
      <c r="AQ18" s="68" t="s">
        <v>246</v>
      </c>
      <c r="AR18" s="68" t="s">
        <v>34</v>
      </c>
      <c r="AS18" s="68">
        <v>9</v>
      </c>
      <c r="AT18" s="68" t="s">
        <v>34</v>
      </c>
      <c r="AU18" s="68" t="s">
        <v>247</v>
      </c>
      <c r="AV18" s="68"/>
      <c r="AW18" s="68">
        <v>2</v>
      </c>
      <c r="AX18" s="68">
        <v>4</v>
      </c>
      <c r="AY18" s="68" t="s">
        <v>64</v>
      </c>
      <c r="AZ18" s="68" t="s">
        <v>93</v>
      </c>
      <c r="BA18" s="68">
        <v>5</v>
      </c>
      <c r="BB18" s="68" t="s">
        <v>195</v>
      </c>
      <c r="BC18" s="68" t="s">
        <v>196</v>
      </c>
      <c r="BD18" s="68" t="s">
        <v>207</v>
      </c>
      <c r="BE18" s="68" t="s">
        <v>34</v>
      </c>
      <c r="BF18" s="68">
        <v>9</v>
      </c>
      <c r="BG18" s="68" t="s">
        <v>34</v>
      </c>
      <c r="BH18" s="68" t="s">
        <v>248</v>
      </c>
      <c r="BI18" s="68"/>
      <c r="BJ18" s="68">
        <v>5</v>
      </c>
      <c r="BK18" s="68" t="s">
        <v>249</v>
      </c>
      <c r="BL18" s="68" t="s">
        <v>250</v>
      </c>
      <c r="BM18" s="68" t="s">
        <v>251</v>
      </c>
      <c r="BN18" s="68" t="s">
        <v>132</v>
      </c>
      <c r="BO18" s="68" t="s">
        <v>252</v>
      </c>
      <c r="BP18" s="68" t="s">
        <v>34</v>
      </c>
      <c r="BQ18" s="68">
        <v>8</v>
      </c>
      <c r="BR18" s="68">
        <v>0</v>
      </c>
      <c r="BS18" s="68" t="s">
        <v>253</v>
      </c>
      <c r="BT18" s="68"/>
    </row>
    <row r="19" spans="1:72" ht="28.8" x14ac:dyDescent="0.3">
      <c r="A19" s="65" t="s">
        <v>254</v>
      </c>
      <c r="B19" s="65" t="s">
        <v>255</v>
      </c>
      <c r="C19" s="65">
        <v>10</v>
      </c>
      <c r="D19" s="65" t="s">
        <v>38</v>
      </c>
      <c r="E19" s="65" t="s">
        <v>46</v>
      </c>
      <c r="F19" s="65" t="s">
        <v>205</v>
      </c>
      <c r="G19" s="65">
        <v>3</v>
      </c>
      <c r="H19" s="65" t="s">
        <v>41</v>
      </c>
      <c r="I19" s="65" t="s">
        <v>256</v>
      </c>
      <c r="J19" s="65">
        <v>7</v>
      </c>
      <c r="K19" s="65">
        <v>1</v>
      </c>
      <c r="L19" s="65" t="s">
        <v>38</v>
      </c>
      <c r="M19" s="65">
        <v>1</v>
      </c>
      <c r="N19" s="65">
        <v>9</v>
      </c>
      <c r="O19" s="65">
        <v>2</v>
      </c>
      <c r="P19" s="65">
        <v>9</v>
      </c>
      <c r="Q19" s="65" t="s">
        <v>88</v>
      </c>
      <c r="R19" s="65" t="s">
        <v>257</v>
      </c>
      <c r="S19" s="65" t="s">
        <v>34</v>
      </c>
      <c r="T19" s="65">
        <v>10</v>
      </c>
      <c r="U19" s="65" t="s">
        <v>34</v>
      </c>
      <c r="V19" s="65" t="s">
        <v>258</v>
      </c>
      <c r="W19" s="65"/>
      <c r="X19" s="65">
        <v>10</v>
      </c>
      <c r="Y19" s="65">
        <v>1</v>
      </c>
      <c r="Z19" s="65">
        <v>1</v>
      </c>
      <c r="AA19" s="65" t="s">
        <v>121</v>
      </c>
      <c r="AB19" s="65">
        <v>3</v>
      </c>
      <c r="AC19" s="65">
        <v>1</v>
      </c>
      <c r="AD19" s="65" t="s">
        <v>259</v>
      </c>
      <c r="AE19" s="65">
        <v>3</v>
      </c>
      <c r="AF19" s="65">
        <v>4</v>
      </c>
      <c r="AG19" s="65" t="s">
        <v>199</v>
      </c>
      <c r="AH19" s="65" t="s">
        <v>211</v>
      </c>
      <c r="AI19" s="65">
        <v>7</v>
      </c>
      <c r="AJ19" s="65" t="s">
        <v>133</v>
      </c>
      <c r="AK19" s="65" t="s">
        <v>134</v>
      </c>
      <c r="AL19" s="65" t="s">
        <v>61</v>
      </c>
      <c r="AM19" s="65" t="s">
        <v>136</v>
      </c>
      <c r="AN19" s="65">
        <v>6</v>
      </c>
      <c r="AO19" s="65">
        <v>4</v>
      </c>
      <c r="AP19" s="65" t="s">
        <v>260</v>
      </c>
      <c r="AQ19" s="65" t="s">
        <v>261</v>
      </c>
      <c r="AR19" s="65" t="s">
        <v>34</v>
      </c>
      <c r="AS19" s="65">
        <v>10</v>
      </c>
      <c r="AT19" s="65" t="s">
        <v>34</v>
      </c>
      <c r="AU19" s="65" t="s">
        <v>262</v>
      </c>
      <c r="AV19" s="65"/>
      <c r="AW19" s="65">
        <v>2</v>
      </c>
      <c r="AX19" s="65">
        <v>4</v>
      </c>
      <c r="AY19" s="65" t="s">
        <v>64</v>
      </c>
      <c r="AZ19" s="65" t="s">
        <v>93</v>
      </c>
      <c r="BA19" s="65">
        <v>5</v>
      </c>
      <c r="BB19" s="65" t="s">
        <v>141</v>
      </c>
      <c r="BC19" s="65" t="s">
        <v>263</v>
      </c>
      <c r="BD19" s="65" t="s">
        <v>264</v>
      </c>
      <c r="BE19" s="65" t="s">
        <v>34</v>
      </c>
      <c r="BF19" s="65">
        <v>10</v>
      </c>
      <c r="BG19" s="65" t="s">
        <v>34</v>
      </c>
      <c r="BH19" s="65" t="s">
        <v>265</v>
      </c>
      <c r="BI19" s="65"/>
      <c r="BJ19" s="65">
        <v>6</v>
      </c>
      <c r="BK19" s="65" t="s">
        <v>120</v>
      </c>
      <c r="BL19" s="65" t="s">
        <v>266</v>
      </c>
      <c r="BM19" s="65" t="s">
        <v>46</v>
      </c>
      <c r="BN19" s="65" t="s">
        <v>131</v>
      </c>
      <c r="BO19" s="65" t="s">
        <v>267</v>
      </c>
      <c r="BP19" s="65" t="s">
        <v>34</v>
      </c>
      <c r="BQ19" s="65">
        <v>10</v>
      </c>
      <c r="BR19" s="65">
        <v>0</v>
      </c>
      <c r="BS19" s="65" t="s">
        <v>268</v>
      </c>
      <c r="BT19" s="65"/>
    </row>
    <row r="20" spans="1:72" ht="28.8" x14ac:dyDescent="0.3">
      <c r="A20" s="68" t="s">
        <v>269</v>
      </c>
      <c r="B20" s="68" t="s">
        <v>270</v>
      </c>
      <c r="C20" s="68">
        <v>10</v>
      </c>
      <c r="D20" s="68" t="s">
        <v>38</v>
      </c>
      <c r="E20" s="68">
        <v>7</v>
      </c>
      <c r="F20" s="68" t="s">
        <v>271</v>
      </c>
      <c r="G20" s="68">
        <v>3</v>
      </c>
      <c r="H20" s="68">
        <v>7</v>
      </c>
      <c r="I20" s="68" t="s">
        <v>54</v>
      </c>
      <c r="J20" s="68">
        <v>9</v>
      </c>
      <c r="K20" s="68">
        <v>1</v>
      </c>
      <c r="L20" s="68" t="s">
        <v>54</v>
      </c>
      <c r="M20" s="68" t="s">
        <v>83</v>
      </c>
      <c r="N20" s="68">
        <v>9</v>
      </c>
      <c r="O20" s="68" t="s">
        <v>84</v>
      </c>
      <c r="P20" s="68">
        <v>10</v>
      </c>
      <c r="Q20" s="68" t="s">
        <v>85</v>
      </c>
      <c r="R20" s="68" t="s">
        <v>272</v>
      </c>
      <c r="S20" s="68" t="s">
        <v>34</v>
      </c>
      <c r="T20" s="68">
        <v>10</v>
      </c>
      <c r="U20" s="68" t="s">
        <v>34</v>
      </c>
      <c r="V20" s="68" t="s">
        <v>273</v>
      </c>
      <c r="W20" s="68"/>
      <c r="X20" s="72" t="s">
        <v>34</v>
      </c>
      <c r="Y20" s="68" t="s">
        <v>34</v>
      </c>
      <c r="Z20" s="72" t="s">
        <v>34</v>
      </c>
      <c r="AA20" s="72" t="s">
        <v>34</v>
      </c>
      <c r="AB20" s="72" t="s">
        <v>34</v>
      </c>
      <c r="AC20" s="72" t="s">
        <v>34</v>
      </c>
      <c r="AD20" s="68" t="s">
        <v>34</v>
      </c>
      <c r="AE20" s="72" t="s">
        <v>34</v>
      </c>
      <c r="AF20" s="72" t="s">
        <v>34</v>
      </c>
      <c r="AG20" s="72" t="s">
        <v>34</v>
      </c>
      <c r="AH20" s="68" t="s">
        <v>34</v>
      </c>
      <c r="AI20" s="72" t="s">
        <v>34</v>
      </c>
      <c r="AJ20" s="72" t="s">
        <v>34</v>
      </c>
      <c r="AK20" s="68" t="s">
        <v>34</v>
      </c>
      <c r="AL20" s="72" t="s">
        <v>34</v>
      </c>
      <c r="AM20" s="68" t="s">
        <v>34</v>
      </c>
      <c r="AN20" s="72" t="s">
        <v>34</v>
      </c>
      <c r="AO20" s="72" t="s">
        <v>34</v>
      </c>
      <c r="AP20" s="68" t="s">
        <v>34</v>
      </c>
      <c r="AQ20" s="68">
        <v>0</v>
      </c>
      <c r="AR20" s="68" t="s">
        <v>34</v>
      </c>
      <c r="AS20" s="68" t="s">
        <v>34</v>
      </c>
      <c r="AT20" s="68" t="s">
        <v>34</v>
      </c>
      <c r="AU20" s="68">
        <v>0</v>
      </c>
      <c r="AV20" s="73" t="s">
        <v>35</v>
      </c>
      <c r="AW20" s="68">
        <v>2</v>
      </c>
      <c r="AX20" s="68" t="s">
        <v>63</v>
      </c>
      <c r="AY20" s="68" t="s">
        <v>215</v>
      </c>
      <c r="AZ20" s="68" t="s">
        <v>274</v>
      </c>
      <c r="BA20" s="68">
        <v>5</v>
      </c>
      <c r="BB20" s="68" t="s">
        <v>141</v>
      </c>
      <c r="BC20" s="68" t="s">
        <v>263</v>
      </c>
      <c r="BD20" s="68" t="s">
        <v>275</v>
      </c>
      <c r="BE20" s="68" t="s">
        <v>34</v>
      </c>
      <c r="BF20" s="68">
        <v>10</v>
      </c>
      <c r="BG20" s="68" t="s">
        <v>34</v>
      </c>
      <c r="BH20" s="68" t="s">
        <v>276</v>
      </c>
      <c r="BI20" s="68"/>
      <c r="BJ20" s="68">
        <v>6</v>
      </c>
      <c r="BK20" s="68" t="s">
        <v>249</v>
      </c>
      <c r="BL20" s="68" t="s">
        <v>277</v>
      </c>
      <c r="BM20" s="68" t="s">
        <v>243</v>
      </c>
      <c r="BN20" s="68" t="s">
        <v>278</v>
      </c>
      <c r="BO20" s="68" t="s">
        <v>234</v>
      </c>
      <c r="BP20" s="68" t="s">
        <v>34</v>
      </c>
      <c r="BQ20" s="68">
        <v>10</v>
      </c>
      <c r="BR20" s="68">
        <v>0</v>
      </c>
      <c r="BS20" s="68" t="s">
        <v>279</v>
      </c>
      <c r="BT20" s="68"/>
    </row>
    <row r="21" spans="1:72" ht="28.8" x14ac:dyDescent="0.3">
      <c r="A21" s="65" t="s">
        <v>280</v>
      </c>
      <c r="B21" s="65" t="s">
        <v>281</v>
      </c>
      <c r="C21" s="65">
        <v>10</v>
      </c>
      <c r="D21" s="65" t="s">
        <v>38</v>
      </c>
      <c r="E21" s="65" t="s">
        <v>61</v>
      </c>
      <c r="F21" s="65" t="s">
        <v>145</v>
      </c>
      <c r="G21" s="65">
        <v>3</v>
      </c>
      <c r="H21" s="65">
        <v>7</v>
      </c>
      <c r="I21" s="65" t="s">
        <v>54</v>
      </c>
      <c r="J21" s="65">
        <v>9</v>
      </c>
      <c r="K21" s="65" t="s">
        <v>83</v>
      </c>
      <c r="L21" s="65" t="s">
        <v>282</v>
      </c>
      <c r="M21" s="65" t="s">
        <v>83</v>
      </c>
      <c r="N21" s="65">
        <v>9</v>
      </c>
      <c r="O21" s="65" t="s">
        <v>84</v>
      </c>
      <c r="P21" s="65">
        <v>10</v>
      </c>
      <c r="Q21" s="65" t="s">
        <v>85</v>
      </c>
      <c r="R21" s="65" t="s">
        <v>283</v>
      </c>
      <c r="S21" s="65" t="s">
        <v>34</v>
      </c>
      <c r="T21" s="65">
        <v>10</v>
      </c>
      <c r="U21" s="65" t="s">
        <v>34</v>
      </c>
      <c r="V21" s="65" t="s">
        <v>284</v>
      </c>
      <c r="W21" s="65"/>
      <c r="X21" s="65">
        <v>9</v>
      </c>
      <c r="Y21" s="65" t="s">
        <v>83</v>
      </c>
      <c r="Z21" s="65">
        <v>1</v>
      </c>
      <c r="AA21" s="65" t="s">
        <v>155</v>
      </c>
      <c r="AB21" s="65">
        <v>3</v>
      </c>
      <c r="AC21" s="65">
        <v>1</v>
      </c>
      <c r="AD21" s="65" t="s">
        <v>285</v>
      </c>
      <c r="AE21" s="65">
        <v>2</v>
      </c>
      <c r="AF21" s="65">
        <v>4</v>
      </c>
      <c r="AG21" s="65" t="s">
        <v>88</v>
      </c>
      <c r="AH21" s="65" t="s">
        <v>286</v>
      </c>
      <c r="AI21" s="65">
        <v>7</v>
      </c>
      <c r="AJ21" s="65" t="s">
        <v>56</v>
      </c>
      <c r="AK21" s="65" t="s">
        <v>57</v>
      </c>
      <c r="AL21" s="65" t="s">
        <v>61</v>
      </c>
      <c r="AM21" s="65" t="s">
        <v>136</v>
      </c>
      <c r="AN21" s="65">
        <v>6</v>
      </c>
      <c r="AO21" s="65" t="s">
        <v>80</v>
      </c>
      <c r="AP21" s="65" t="s">
        <v>213</v>
      </c>
      <c r="AQ21" s="65" t="s">
        <v>109</v>
      </c>
      <c r="AR21" s="65" t="s">
        <v>34</v>
      </c>
      <c r="AS21" s="65">
        <v>8</v>
      </c>
      <c r="AT21" s="65" t="s">
        <v>34</v>
      </c>
      <c r="AU21" s="65" t="s">
        <v>287</v>
      </c>
      <c r="AV21" s="65"/>
      <c r="AW21" s="65">
        <v>2</v>
      </c>
      <c r="AX21" s="65">
        <v>2</v>
      </c>
      <c r="AY21" s="65" t="s">
        <v>64</v>
      </c>
      <c r="AZ21" s="65" t="s">
        <v>115</v>
      </c>
      <c r="BA21" s="65">
        <v>5</v>
      </c>
      <c r="BB21" s="65">
        <v>4</v>
      </c>
      <c r="BC21" s="65" t="s">
        <v>215</v>
      </c>
      <c r="BD21" s="65" t="s">
        <v>288</v>
      </c>
      <c r="BE21" s="65" t="s">
        <v>34</v>
      </c>
      <c r="BF21" s="65">
        <v>10</v>
      </c>
      <c r="BG21" s="65" t="s">
        <v>34</v>
      </c>
      <c r="BH21" s="65" t="s">
        <v>289</v>
      </c>
      <c r="BI21" s="65"/>
      <c r="BJ21" s="65">
        <v>5</v>
      </c>
      <c r="BK21" s="65" t="s">
        <v>120</v>
      </c>
      <c r="BL21" s="65" t="s">
        <v>290</v>
      </c>
      <c r="BM21" s="65" t="s">
        <v>135</v>
      </c>
      <c r="BN21" s="65" t="s">
        <v>291</v>
      </c>
      <c r="BO21" s="65" t="s">
        <v>292</v>
      </c>
      <c r="BP21" s="65" t="s">
        <v>34</v>
      </c>
      <c r="BQ21" s="65" t="s">
        <v>78</v>
      </c>
      <c r="BR21" s="65">
        <v>0</v>
      </c>
      <c r="BS21" s="65" t="s">
        <v>293</v>
      </c>
      <c r="BT21" s="65"/>
    </row>
  </sheetData>
  <mergeCells count="20">
    <mergeCell ref="AE6:AH6"/>
    <mergeCell ref="AI6:AK6"/>
    <mergeCell ref="AL6:AM6"/>
    <mergeCell ref="AN6:AP6"/>
    <mergeCell ref="C5:W5"/>
    <mergeCell ref="X5:AV5"/>
    <mergeCell ref="AW5:BI5"/>
    <mergeCell ref="BJ5:BT5"/>
    <mergeCell ref="C6:D6"/>
    <mergeCell ref="E6:F6"/>
    <mergeCell ref="G6:I6"/>
    <mergeCell ref="J6:L6"/>
    <mergeCell ref="M6:O6"/>
    <mergeCell ref="P6:Q6"/>
    <mergeCell ref="AW6:AZ6"/>
    <mergeCell ref="BA6:BC6"/>
    <mergeCell ref="BJ6:BL6"/>
    <mergeCell ref="BM6:BN6"/>
    <mergeCell ref="X6:Y6"/>
    <mergeCell ref="Z6:A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1BE7-0E18-4E03-A84E-15B36D531978}">
  <dimension ref="B1:S27"/>
  <sheetViews>
    <sheetView workbookViewId="0">
      <selection activeCell="V20" sqref="V20"/>
    </sheetView>
  </sheetViews>
  <sheetFormatPr baseColWidth="10" defaultColWidth="5.77734375" defaultRowHeight="14.4" x14ac:dyDescent="0.3"/>
  <sheetData>
    <row r="1" spans="2:19" ht="15" thickBot="1" x14ac:dyDescent="0.35"/>
    <row r="2" spans="2:19" x14ac:dyDescent="0.3">
      <c r="B2" s="161" t="s">
        <v>337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3"/>
    </row>
    <row r="3" spans="2:19" ht="15" thickBot="1" x14ac:dyDescent="0.35">
      <c r="B3" s="48"/>
      <c r="C3" s="49"/>
      <c r="D3" s="50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1"/>
    </row>
    <row r="4" spans="2:19" ht="15" thickBot="1" x14ac:dyDescent="0.35">
      <c r="B4" s="48"/>
      <c r="C4" s="165" t="s">
        <v>333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7"/>
      <c r="S4" s="51"/>
    </row>
    <row r="5" spans="2:19" x14ac:dyDescent="0.3">
      <c r="B5" s="48"/>
      <c r="C5" s="4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42"/>
      <c r="S5" s="51"/>
    </row>
    <row r="6" spans="2:19" x14ac:dyDescent="0.3">
      <c r="B6" s="48"/>
      <c r="C6" s="41"/>
      <c r="D6" s="116" t="s">
        <v>34</v>
      </c>
      <c r="E6" s="117"/>
      <c r="F6" s="10"/>
      <c r="G6" s="19" t="s">
        <v>331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51"/>
    </row>
    <row r="7" spans="2:19" x14ac:dyDescent="0.3">
      <c r="B7" s="48"/>
      <c r="C7" s="41"/>
      <c r="D7" s="10"/>
      <c r="E7" s="10"/>
      <c r="F7" s="10"/>
      <c r="G7" s="19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51"/>
    </row>
    <row r="8" spans="2:19" x14ac:dyDescent="0.3">
      <c r="B8" s="48"/>
      <c r="C8" s="41"/>
      <c r="D8" s="128">
        <v>0</v>
      </c>
      <c r="E8" s="105"/>
      <c r="F8" s="10"/>
      <c r="G8" s="19" t="s">
        <v>330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51"/>
    </row>
    <row r="9" spans="2:19" x14ac:dyDescent="0.3">
      <c r="B9" s="48"/>
      <c r="C9" s="41"/>
      <c r="D9" s="10" t="s">
        <v>34</v>
      </c>
      <c r="E9" s="10"/>
      <c r="F9" s="10"/>
      <c r="G9" s="19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51"/>
    </row>
    <row r="10" spans="2:19" x14ac:dyDescent="0.3">
      <c r="B10" s="48"/>
      <c r="C10" s="41"/>
      <c r="D10" s="164">
        <v>0</v>
      </c>
      <c r="E10" s="164"/>
      <c r="F10" s="10"/>
      <c r="G10" s="19" t="s">
        <v>332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42"/>
      <c r="S10" s="51"/>
    </row>
    <row r="11" spans="2:19" ht="15" thickBot="1" x14ac:dyDescent="0.35">
      <c r="B11" s="48"/>
      <c r="C11" s="43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51"/>
    </row>
    <row r="12" spans="2:19" ht="15" thickBot="1" x14ac:dyDescent="0.35"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51"/>
    </row>
    <row r="13" spans="2:19" ht="15" thickBot="1" x14ac:dyDescent="0.35">
      <c r="B13" s="48"/>
      <c r="C13" s="165" t="s">
        <v>334</v>
      </c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7"/>
      <c r="S13" s="51"/>
    </row>
    <row r="14" spans="2:19" x14ac:dyDescent="0.3">
      <c r="B14" s="48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40"/>
      <c r="S14" s="51"/>
    </row>
    <row r="15" spans="2:19" x14ac:dyDescent="0.3">
      <c r="B15" s="48"/>
      <c r="C15" s="41"/>
      <c r="D15" s="168"/>
      <c r="E15" s="168"/>
      <c r="F15" s="10"/>
      <c r="G15" s="19" t="s">
        <v>335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42"/>
      <c r="S15" s="51"/>
    </row>
    <row r="16" spans="2:19" x14ac:dyDescent="0.3">
      <c r="B16" s="48"/>
      <c r="C16" s="41"/>
      <c r="D16" s="10"/>
      <c r="E16" s="10"/>
      <c r="F16" s="10"/>
      <c r="G16" s="1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42"/>
      <c r="S16" s="51"/>
    </row>
    <row r="17" spans="2:19" x14ac:dyDescent="0.3">
      <c r="B17" s="48"/>
      <c r="C17" s="41"/>
      <c r="D17" s="169"/>
      <c r="E17" s="170"/>
      <c r="F17" s="10"/>
      <c r="G17" s="19" t="s">
        <v>336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42"/>
      <c r="S17" s="51"/>
    </row>
    <row r="18" spans="2:19" x14ac:dyDescent="0.3">
      <c r="B18" s="48"/>
      <c r="C18" s="41"/>
      <c r="D18" s="10"/>
      <c r="E18" s="10"/>
      <c r="F18" s="10"/>
      <c r="G18" s="19" t="s">
        <v>341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42"/>
      <c r="S18" s="51"/>
    </row>
    <row r="19" spans="2:19" x14ac:dyDescent="0.3">
      <c r="B19" s="48"/>
      <c r="C19" s="41"/>
      <c r="D19" s="10"/>
      <c r="E19" s="10"/>
      <c r="F19" s="10"/>
      <c r="G19" s="1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42"/>
      <c r="S19" s="51"/>
    </row>
    <row r="20" spans="2:19" x14ac:dyDescent="0.3">
      <c r="B20" s="48"/>
      <c r="C20" s="41"/>
      <c r="D20" s="181">
        <v>1</v>
      </c>
      <c r="E20" s="181"/>
      <c r="F20" s="10"/>
      <c r="G20" s="19" t="s">
        <v>339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42"/>
      <c r="S20" s="51"/>
    </row>
    <row r="21" spans="2:19" x14ac:dyDescent="0.3">
      <c r="B21" s="48"/>
      <c r="C21" s="41"/>
      <c r="D21" s="10"/>
      <c r="E21" s="10"/>
      <c r="F21" s="10"/>
      <c r="G21" s="19" t="s">
        <v>338</v>
      </c>
      <c r="I21" s="10"/>
      <c r="J21" s="10"/>
      <c r="K21" s="10"/>
      <c r="L21" s="10"/>
      <c r="M21" s="10"/>
      <c r="N21" s="10"/>
      <c r="O21" s="10"/>
      <c r="P21" s="10"/>
      <c r="Q21" s="10"/>
      <c r="R21" s="42"/>
      <c r="S21" s="51"/>
    </row>
    <row r="22" spans="2:19" x14ac:dyDescent="0.3">
      <c r="B22" s="48"/>
      <c r="C22" s="41"/>
      <c r="D22" s="10"/>
      <c r="E22" s="10"/>
      <c r="F22" s="10"/>
      <c r="G22" s="1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42"/>
      <c r="S22" s="51"/>
    </row>
    <row r="23" spans="2:19" x14ac:dyDescent="0.3">
      <c r="B23" s="48"/>
      <c r="C23" s="41"/>
      <c r="D23" s="182" t="s">
        <v>35</v>
      </c>
      <c r="E23" s="182"/>
      <c r="F23" s="10"/>
      <c r="G23" s="19" t="s">
        <v>340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42"/>
      <c r="S23" s="51"/>
    </row>
    <row r="24" spans="2:19" x14ac:dyDescent="0.3">
      <c r="B24" s="48"/>
      <c r="C24" s="41"/>
      <c r="D24" s="10"/>
      <c r="E24" s="10"/>
      <c r="F24" s="10"/>
      <c r="G24" s="19"/>
      <c r="I24" s="10"/>
      <c r="J24" s="10"/>
      <c r="K24" s="10"/>
      <c r="L24" s="10"/>
      <c r="M24" s="10"/>
      <c r="N24" s="10"/>
      <c r="O24" s="10"/>
      <c r="P24" s="10"/>
      <c r="Q24" s="10"/>
      <c r="R24" s="42"/>
      <c r="S24" s="51"/>
    </row>
    <row r="25" spans="2:19" ht="15" thickBot="1" x14ac:dyDescent="0.35">
      <c r="B25" s="48"/>
      <c r="C25" s="43"/>
      <c r="D25" s="44"/>
      <c r="E25" s="44"/>
      <c r="F25" s="44"/>
      <c r="G25" s="4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5"/>
      <c r="S25" s="51"/>
    </row>
    <row r="26" spans="2:19" x14ac:dyDescent="0.3"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51"/>
    </row>
    <row r="27" spans="2:19" ht="15" thickBot="1" x14ac:dyDescent="0.35">
      <c r="B27" s="52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4"/>
    </row>
  </sheetData>
  <mergeCells count="10">
    <mergeCell ref="D15:E15"/>
    <mergeCell ref="D17:E17"/>
    <mergeCell ref="D20:E20"/>
    <mergeCell ref="D23:E23"/>
    <mergeCell ref="B2:S2"/>
    <mergeCell ref="C4:R4"/>
    <mergeCell ref="D6:E6"/>
    <mergeCell ref="D8:E8"/>
    <mergeCell ref="D10:E10"/>
    <mergeCell ref="C13:R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de calificación_2206202</vt:lpstr>
      <vt:lpstr>Informe de calificación_CIKA06</vt:lpstr>
      <vt:lpstr>Notas del Moodle</vt:lpstr>
      <vt:lpstr>Leyendas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Efrén Luis Pérez Castellano</cp:lastModifiedBy>
  <dcterms:created xsi:type="dcterms:W3CDTF">2025-06-22T15:44:14Z</dcterms:created>
  <dcterms:modified xsi:type="dcterms:W3CDTF">2025-06-23T04:59:33Z</dcterms:modified>
</cp:coreProperties>
</file>